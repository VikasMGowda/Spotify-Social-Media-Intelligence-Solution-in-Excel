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OneDrive\Documents\intershala projects\course 2 spotify project\"/>
    </mc:Choice>
  </mc:AlternateContent>
  <xr:revisionPtr revIDLastSave="0" documentId="13_ncr:1_{7337F551-6F00-47A3-8114-32C75E9CBF2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osts" sheetId="1" r:id="rId1"/>
    <sheet name="task6(1)" sheetId="5" r:id="rId2"/>
    <sheet name="task6(2)" sheetId="9" r:id="rId3"/>
    <sheet name="task6(3)" sheetId="10" r:id="rId4"/>
    <sheet name="Engagement Summary" sheetId="2" r:id="rId5"/>
    <sheet name="Campaign Metadata" sheetId="3" r:id="rId6"/>
    <sheet name="video link" sheetId="11" r:id="rId7"/>
  </sheet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J8" i="2" l="1"/>
</calcChain>
</file>

<file path=xl/sharedStrings.xml><?xml version="1.0" encoding="utf-8"?>
<sst xmlns="http://schemas.openxmlformats.org/spreadsheetml/2006/main" count="2086" uniqueCount="384">
  <si>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</si>
  <si>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</si>
  <si>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</si>
  <si>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</si>
  <si>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</si>
  <si>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</si>
  <si>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</si>
  <si>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</si>
  <si>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</si>
  <si>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</si>
  <si>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</si>
  <si>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</si>
  <si>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</si>
  <si>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</si>
  <si>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</si>
  <si>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</si>
  <si>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</si>
  <si>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</si>
  <si>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</si>
  <si>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</si>
  <si>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</si>
  <si>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</si>
  <si>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</si>
  <si>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</si>
  <si>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</si>
  <si>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</si>
  <si>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</si>
  <si>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</si>
  <si>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</si>
  <si>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</si>
  <si>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</si>
  <si>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</si>
  <si>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</si>
  <si>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</si>
  <si>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</si>
  <si>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</si>
  <si>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</si>
  <si>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</si>
  <si>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</si>
  <si>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</si>
  <si>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</si>
  <si>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</si>
  <si>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</si>
  <si>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</si>
  <si>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</si>
  <si>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</si>
  <si>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</si>
  <si>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</si>
  <si>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</si>
  <si>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</si>
  <si>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</si>
  <si>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</si>
  <si>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</si>
  <si>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</si>
  <si>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</si>
  <si>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</si>
  <si>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</si>
  <si>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</si>
  <si>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</si>
  <si>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</si>
  <si>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</si>
  <si>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</si>
  <si>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</si>
  <si>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</si>
  <si>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</si>
  <si>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</si>
  <si>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</si>
  <si>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</si>
  <si>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</si>
  <si>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</si>
  <si>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</si>
  <si>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</si>
  <si>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</si>
  <si>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</si>
  <si>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</si>
  <si>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</si>
  <si>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</si>
  <si>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</si>
  <si>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</si>
  <si>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</si>
  <si>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</si>
  <si>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</si>
  <si>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</si>
  <si>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</si>
  <si>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</si>
  <si>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</si>
  <si>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</si>
  <si>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</si>
  <si>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</si>
  <si>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</si>
  <si>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</si>
  <si>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</si>
  <si>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</si>
  <si>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</si>
  <si>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</si>
  <si>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</si>
  <si>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</si>
  <si>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</si>
  <si>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</si>
  <si>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</si>
  <si>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</si>
  <si>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</si>
  <si>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</si>
  <si>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</si>
  <si>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</si>
  <si>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</si>
  <si>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</si>
  <si>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</si>
  <si>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</si>
  <si>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</si>
  <si>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</si>
  <si>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</si>
  <si>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</si>
  <si>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</si>
  <si>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</si>
  <si>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</si>
  <si>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</si>
  <si>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</si>
  <si>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</si>
  <si>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</si>
  <si>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</si>
  <si>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</si>
  <si>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</si>
  <si>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</si>
  <si>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</si>
  <si>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</si>
  <si>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</si>
  <si>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</si>
  <si>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</si>
  <si>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</si>
  <si>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</si>
  <si>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</si>
  <si>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</si>
  <si>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</si>
  <si>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</si>
  <si>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</si>
  <si>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</si>
  <si>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</si>
  <si>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</si>
  <si>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</si>
  <si>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</si>
  <si>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</si>
  <si>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</si>
  <si>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</si>
  <si>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</si>
  <si>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</si>
  <si>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</si>
  <si>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</si>
  <si>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</si>
  <si>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</si>
  <si>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</si>
  <si>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</si>
  <si>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</si>
  <si>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</si>
  <si>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</si>
  <si>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</si>
  <si>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</si>
  <si>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</si>
  <si>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</si>
  <si>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</si>
  <si>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</si>
  <si>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</si>
  <si>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</si>
  <si>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</si>
  <si>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</si>
  <si>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</si>
  <si>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</si>
  <si>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</si>
  <si>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</si>
  <si>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</si>
  <si>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</si>
  <si>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</si>
  <si>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</si>
  <si>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</si>
  <si>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</si>
  <si>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</si>
  <si>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</si>
  <si>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</si>
  <si>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</si>
  <si>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</si>
  <si>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</si>
  <si>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</si>
  <si>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</si>
  <si>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</si>
  <si>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</si>
  <si>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</si>
  <si>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</si>
  <si>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</si>
  <si>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</si>
  <si>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</si>
  <si>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</si>
  <si>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</si>
  <si>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</si>
  <si>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</si>
  <si>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</si>
  <si>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</si>
  <si>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</si>
  <si>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</si>
  <si>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</si>
  <si>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</si>
  <si>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</si>
  <si>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</si>
  <si>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</si>
  <si>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</si>
  <si>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</si>
  <si>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</si>
  <si>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</si>
  <si>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</si>
  <si>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</si>
  <si>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</si>
  <si>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</si>
  <si>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</si>
  <si>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</si>
  <si>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</si>
  <si>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</si>
  <si>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</si>
  <si>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</si>
  <si>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</si>
  <si>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</si>
  <si>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</si>
  <si>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</si>
  <si>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</si>
  <si>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</si>
  <si>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</si>
  <si>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</si>
  <si>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</si>
  <si>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</si>
  <si>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</si>
  <si>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</si>
  <si>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</si>
  <si>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</si>
  <si>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</si>
  <si>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</si>
  <si>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</si>
  <si>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</si>
  <si>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</si>
  <si>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</si>
  <si>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</si>
  <si>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</si>
  <si>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</si>
  <si>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</si>
  <si>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</si>
  <si>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</si>
  <si>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</si>
  <si>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</si>
  <si>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</si>
  <si>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</si>
  <si>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</si>
  <si>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</si>
  <si>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</si>
  <si>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</si>
  <si>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</si>
  <si>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</si>
  <si>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</si>
  <si>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</si>
  <si>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</si>
  <si>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</si>
  <si>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</si>
  <si>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</si>
  <si>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</si>
  <si>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</si>
  <si>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</si>
  <si>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</si>
  <si>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</si>
  <si>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</si>
  <si>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</si>
  <si>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</si>
  <si>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</si>
  <si>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</si>
  <si>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</si>
  <si>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</si>
  <si>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</si>
  <si>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</si>
  <si>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</si>
  <si>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</si>
  <si>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</si>
  <si>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</si>
  <si>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</si>
  <si>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</si>
  <si>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</si>
  <si>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</si>
  <si>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</si>
  <si>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</si>
  <si>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</si>
  <si>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</si>
  <si>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</si>
  <si>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</si>
  <si>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</si>
  <si>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</si>
  <si>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</si>
  <si>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</si>
  <si>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</si>
  <si>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</si>
  <si>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</si>
  <si>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</si>
  <si>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</si>
  <si>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</si>
  <si>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</si>
  <si>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</si>
  <si>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</si>
  <si>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</si>
  <si>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</si>
  <si>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</si>
  <si>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</si>
  <si>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</si>
  <si>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</si>
  <si>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</si>
  <si>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</si>
  <si>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</si>
  <si>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</si>
  <si>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</si>
  <si>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</si>
  <si>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</si>
  <si>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</si>
  <si>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</si>
  <si>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</si>
  <si>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</si>
  <si>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</si>
  <si>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</si>
  <si>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</si>
  <si>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</si>
  <si>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</si>
  <si>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</si>
  <si>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</si>
  <si>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</si>
  <si>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</si>
  <si>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</si>
  <si>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</si>
  <si>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</si>
  <si>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</si>
  <si>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</si>
  <si>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</si>
  <si>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</si>
  <si>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</si>
  <si>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</si>
  <si>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</si>
  <si>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</si>
  <si>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</si>
  <si>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</si>
  <si>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</si>
  <si>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</si>
  <si>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</si>
  <si>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</si>
  <si>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</si>
  <si>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</si>
  <si>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</si>
  <si>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</si>
  <si>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</si>
  <si>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</si>
  <si>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</si>
  <si>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</si>
  <si>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</si>
  <si>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</si>
  <si>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</si>
  <si>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</si>
  <si>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</si>
  <si>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</si>
  <si>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</si>
  <si>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</si>
  <si>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</si>
  <si>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</si>
  <si>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</si>
  <si>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</si>
  <si>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</si>
  <si>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</si>
  <si>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</si>
  <si>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</si>
  <si>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</si>
  <si>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</si>
  <si>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</si>
  <si>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</si>
  <si>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</si>
  <si>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</si>
  <si>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Row Labels</t>
  </si>
  <si>
    <t>Grand Total</t>
  </si>
  <si>
    <t>Sum of Total_Budget</t>
  </si>
  <si>
    <t>Sum of Engagement_Rate</t>
  </si>
  <si>
    <t>Sum of Ad_Spend</t>
  </si>
  <si>
    <t>Sum of Total_Followers</t>
  </si>
  <si>
    <t>2024</t>
  </si>
  <si>
    <t>2025</t>
  </si>
  <si>
    <t>corelation rate</t>
  </si>
  <si>
    <t>video link</t>
  </si>
  <si>
    <t>https://www.loom.com/share/1f6282f603504ae0ab7e39cd054636c6?sid=64cb7db7-e0a7-440b-b7ca-caea6a8bf8a7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</si>
</sst>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5" fontId="3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1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6.xlsx]task6(2)!PivotTable6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'task6(2)'!$B$3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'task6(2)'!$A$4:$A$12</c:f>
              <c:multiLvlStrCache>
                <c:ptCount val="4"/>
                <c:lvl>
                  <c:pt idx="0">
                    <c:v>IndieWave</c:v>
                  </c:pt>
                  <c:pt idx="1">
                    <c:v>ChillVibes</c:v>
                  </c:pt>
                  <c:pt idx="2">
                    <c:v>SummerBeats</c:v>
                  </c:pt>
                  <c:pt idx="3">
                    <c:v>Wrapped2024</c:v>
                  </c:pt>
                </c:lvl>
                <c:lvl>
                  <c:pt idx="0">
                    <c:v>Facebook,Instagram</c:v>
                  </c:pt>
                  <c:pt idx="1">
                    <c:v>Instagram,Twitter</c:v>
                  </c:pt>
                  <c:pt idx="2">
                    <c:v>Instagram,YouTube</c:v>
                  </c:pt>
                  <c:pt idx="3">
                    <c:v>Twitter,YouTube</c:v>
                  </c:pt>
                </c:lvl>
              </c:multiLvlStrCache>
            </c:multiLvlStrRef>
          </c:cat>
          <c:val>
            <c:numRef>
              <c:f>'task6(2)'!$B$4:$B$12</c:f>
              <c:numCache>
                <c:formatCode>General</c:formatCode>
                <c:ptCount val="4"/>
                <c:pt idx="0">
                  <c:v>160000</c:v>
                </c:pt>
                <c:pt idx="1">
                  <c:v>200000</c:v>
                </c:pt>
                <c:pt idx="2">
                  <c:v>175000</c:v>
                </c:pt>
                <c:pt idx="3">
                  <c:v>225000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F-4489-84FC-4D7A7B02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789472"/>
        <c:axId val="1214785632"/>
      </c:lineChart>
      <c:catAx>
        <c:axId val="121478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85632"/>
        <c:crosses val="autoZero"/>
        <c:auto val="1"/>
        <c:lblAlgn val="ctr"/>
        <c:lblOffset val="100"/>
        <c:noMultiLvlLbl val="0"/>
      </c:catAx>
      <c:valAx>
        <c:axId val="12147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6.xlsx]task6(3)!PivotTable7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'task6(3)'!$B$4</c:f>
              <c:strCache>
                <c:ptCount val="1"/>
                <c:pt idx="0">
                  <c:v>Sum of Total_Followers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6-4796-8A07-8291AF85B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6-4796-8A07-8291AF85B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66-4796-8A07-8291AF85B1FB}"/>
              </c:ext>
            </c:extLst>
          </c:dPt>
          <c:cat>
            <c:strRef>
              <c:f>'task6(3)'!$A$5:$A$8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'task6(3)'!$B$5:$B$8</c:f>
              <c:numCache>
                <c:formatCode>General</c:formatCode>
                <c:ptCount val="3"/>
                <c:pt idx="0">
                  <c:v>15642297</c:v>
                </c:pt>
                <c:pt idx="1">
                  <c:v>14575123</c:v>
                </c:pt>
                <c:pt idx="2">
                  <c:v>16284387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5-4A81-91A5-D6B9561C7CC9}"/>
            </c:ext>
          </c:extLst>
        </c:ser>
        <c:ser>
          <c:idx val="1"/>
          <c:order val="1"/>
          <c:tx>
            <c:strRef>
              <c:f>'task6(3)'!$C$4</c:f>
              <c:strCache>
                <c:ptCount val="1"/>
                <c:pt idx="0">
                  <c:v>Sum of Engagement_Rate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66-4796-8A07-8291AF85B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66-4796-8A07-8291AF85B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66-4796-8A07-8291AF85B1FB}"/>
              </c:ext>
            </c:extLst>
          </c:dPt>
          <c:cat>
            <c:strRef>
              <c:f>'task6(3)'!$A$5:$A$8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'task6(3)'!$C$5:$C$8</c:f>
              <c:numCache>
                <c:formatCode>General</c:formatCode>
                <c:ptCount val="3"/>
                <c:pt idx="0">
                  <c:v>432.70000000000016</c:v>
                </c:pt>
                <c:pt idx="1">
                  <c:v>461.34</c:v>
                </c:pt>
                <c:pt idx="2">
                  <c:v>443.44999999999993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5-4A81-91A5-D6B9561C7CC9}"/>
            </c:ext>
          </c:extLst>
        </c:ser>
        <c:ser>
          <c:idx val="2"/>
          <c:order val="2"/>
          <c:tx>
            <c:strRef>
              <c:f>'task6(3)'!$D$4</c:f>
              <c:strCache>
                <c:ptCount val="1"/>
                <c:pt idx="0">
                  <c:v>Sum of Ad_Spend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66-4796-8A07-8291AF85B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B66-4796-8A07-8291AF85B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B66-4796-8A07-8291AF85B1FB}"/>
              </c:ext>
            </c:extLst>
          </c:dPt>
          <c:cat>
            <c:strRef>
              <c:f>'task6(3)'!$A$5:$A$8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'task6(3)'!$D$5:$D$8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5-4A81-91A5-D6B9561C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5</xdr:row>
      <xdr:rowOff>138112</xdr:rowOff>
    </xdr:from>
    <xdr:to>
      <xdr:col>14</xdr:col>
      <xdr:colOff>423862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5FB9F-70CD-7264-0179-DE94B1F27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7</xdr:row>
      <xdr:rowOff>114300</xdr:rowOff>
    </xdr:from>
    <xdr:to>
      <xdr:col>14</xdr:col>
      <xdr:colOff>409575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BCC60-6EE1-80B3-3638-3FFBA0D99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6.985496875001" createdVersion="8" refreshedVersion="8" minRefreshableVersion="3" recordCount="4" xr:uid="{F55515CC-D1D9-4646-B529-1E8D559AB3BF}">
  <cacheSource type="worksheet">
    <worksheetSource ref="A1:G5" sheet="Campaign Metadata"/>
  </cacheSource>
  <cacheFields count="7">
    <cacheField name="Campaign_Name" numFmtId="0">
      <sharedItems count="4">
        <s v="SummerBeats"/>
        <s v="Wrapped2024"/>
        <s v="ChillVibes"/>
        <s v="IndieWave"/>
      </sharedItems>
    </cacheField>
    <cacheField name="Start_Date" numFmtId="0">
      <sharedItems count="4">
        <s v="2024-06-15"/>
        <s v="2024-12-01"/>
        <s v="2025-01-10"/>
        <s v="2025-03-01"/>
      </sharedItems>
    </cacheField>
    <cacheField name="End_Date" numFmtId="0">
      <sharedItems count="4">
        <s v="2024-07-15"/>
        <s v="2024-12-31"/>
        <s v="2025-02-10"/>
        <s v="2025-03-31"/>
      </sharedItems>
    </cacheField>
    <cacheField name="Objective" numFmtId="0">
      <sharedItems count="4">
        <s v="Brand Awareness"/>
        <s v="Engagement"/>
        <s v="Product Launch"/>
        <s v="Traffic"/>
      </sharedItems>
    </cacheField>
    <cacheField name="Total_Budget" numFmtId="0">
      <sharedItems containsSemiMixedTypes="0" containsString="0" containsNumber="1" containsInteger="1" minValue="160000" maxValue="225000" count="4">
        <n v="175000"/>
        <n v="225000"/>
        <n v="200000"/>
        <n v="160000"/>
      </sharedItems>
    </cacheField>
    <cacheField name="Target_Platforms" numFmtId="0">
      <sharedItems count="4">
        <s v="Instagram,YouTube"/>
        <s v="Twitter,YouTube"/>
        <s v="Instagram,Twitter"/>
        <s v="Facebook,Instagram"/>
      </sharedItems>
    </cacheField>
    <cacheField name="Primary_Hashtags" numFmtId="0">
      <sharedItems count="4">
        <s v="#SpotifyWrapped,#MusicForEveryone"/>
        <s v="#SpotifyWrapped,#NowPlaying"/>
        <s v="#ChillVibes,#SoundtrackOfLife"/>
        <s v="#DiscoverWeekly,#IndieWa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6.988159722219" createdVersion="8" refreshedVersion="8" minRefreshableVersion="3" recordCount="200" xr:uid="{1D81D947-1B4E-47B9-8E88-88FAA08820F9}">
  <cacheSource type="worksheet">
    <worksheetSource ref="A1:G201" sheet="Engagement Summary"/>
  </cacheSource>
  <cacheFields count="10">
    <cacheField name="Week_Start_Date" numFmtId="0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9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 count="200">
        <n v="124562"/>
        <n v="227958"/>
        <n v="370242"/>
        <n v="92474"/>
        <n v="328902"/>
        <n v="391621"/>
        <n v="95885"/>
        <n v="245947"/>
        <n v="250428"/>
        <n v="87186"/>
        <n v="128620"/>
        <n v="126015"/>
        <n v="178615"/>
        <n v="218228"/>
        <n v="300397"/>
        <n v="340121"/>
        <n v="76866"/>
        <n v="193131"/>
        <n v="169665"/>
        <n v="263729"/>
        <n v="206921"/>
        <n v="204121"/>
        <n v="266350"/>
        <n v="380606"/>
        <n v="376358"/>
        <n v="79423"/>
        <n v="352178"/>
        <n v="200636"/>
        <n v="132756"/>
        <n v="318098"/>
        <n v="68724"/>
        <n v="115505"/>
        <n v="276722"/>
        <n v="353538"/>
        <n v="61445"/>
        <n v="165035"/>
        <n v="194595"/>
        <n v="236238"/>
        <n v="271044"/>
        <n v="334887"/>
        <n v="359150"/>
        <n v="358295"/>
        <n v="368454"/>
        <n v="269082"/>
        <n v="310903"/>
        <n v="248581"/>
        <n v="371015"/>
        <n v="177452"/>
        <n v="80745"/>
        <n v="362441"/>
        <n v="344771"/>
        <n v="374952"/>
        <n v="179781"/>
        <n v="358581"/>
        <n v="319294"/>
        <n v="192022"/>
        <n v="151462"/>
        <n v="188193"/>
        <n v="292040"/>
        <n v="325325"/>
        <n v="86849"/>
        <n v="141161"/>
        <n v="149916"/>
        <n v="308533"/>
        <n v="293894"/>
        <n v="147656"/>
        <n v="326791"/>
        <n v="348877"/>
        <n v="122730"/>
        <n v="306508"/>
        <n v="202472"/>
        <n v="227249"/>
        <n v="246567"/>
        <n v="114738"/>
        <n v="333500"/>
        <n v="352677"/>
        <n v="160936"/>
        <n v="197183"/>
        <n v="171271"/>
        <n v="111293"/>
        <n v="351493"/>
        <n v="345631"/>
        <n v="105622"/>
        <n v="119054"/>
        <n v="171670"/>
        <n v="170432"/>
        <n v="140300"/>
        <n v="116538"/>
        <n v="176902"/>
        <n v="326821"/>
        <n v="240598"/>
        <n v="373274"/>
        <n v="123272"/>
        <n v="139266"/>
        <n v="155927"/>
        <n v="258398"/>
        <n v="338561"/>
        <n v="341856"/>
        <n v="175860"/>
        <n v="327722"/>
        <n v="271638"/>
        <n v="333851"/>
        <n v="368984"/>
        <n v="167310"/>
        <n v="194811"/>
        <n v="314982"/>
        <n v="75960"/>
        <n v="360759"/>
        <n v="297090"/>
        <n v="92040"/>
        <n v="174610"/>
        <n v="177376"/>
        <n v="198882"/>
        <n v="336383"/>
        <n v="346890"/>
        <n v="168170"/>
        <n v="368872"/>
        <n v="116436"/>
        <n v="127502"/>
        <n v="274567"/>
        <n v="295090"/>
        <n v="194994"/>
        <n v="340750"/>
        <n v="296031"/>
        <n v="345688"/>
        <n v="263488"/>
        <n v="184911"/>
        <n v="124497"/>
        <n v="397607"/>
        <n v="138521"/>
        <n v="107718"/>
        <n v="202234"/>
        <n v="340987"/>
        <n v="340098"/>
        <n v="254727"/>
        <n v="345659"/>
        <n v="213950"/>
        <n v="258115"/>
        <n v="321258"/>
        <n v="338650"/>
        <n v="272989"/>
        <n v="260204"/>
        <n v="283278"/>
        <n v="277445"/>
        <n v="353781"/>
        <n v="265019"/>
        <n v="231925"/>
        <n v="366149"/>
        <n v="168375"/>
        <n v="252763"/>
        <n v="118393"/>
        <n v="327012"/>
        <n v="169688"/>
        <n v="271935"/>
        <n v="315981"/>
        <n v="341016"/>
        <n v="285164"/>
        <n v="116632"/>
        <n v="115694"/>
        <n v="64444"/>
        <n v="362559"/>
        <n v="226881"/>
        <n v="283537"/>
        <n v="62837"/>
        <n v="182759"/>
        <n v="279405"/>
        <n v="257485"/>
        <n v="154977"/>
        <n v="216500"/>
        <n v="102102"/>
        <n v="92025"/>
        <n v="247965"/>
        <n v="387352"/>
        <n v="253985"/>
        <n v="129640"/>
        <n v="281913"/>
        <n v="360770"/>
        <n v="127273"/>
        <n v="189622"/>
        <n v="350949"/>
        <n v="121431"/>
        <n v="116742"/>
        <n v="81184"/>
        <n v="87126"/>
        <n v="267546"/>
        <n v="133082"/>
        <n v="340557"/>
        <n v="116472"/>
        <n v="113412"/>
        <n v="157547"/>
        <n v="354816"/>
        <n v="151799"/>
        <n v="143811"/>
        <n v="296450"/>
        <n v="144049"/>
        <n v="272534"/>
        <n v="82265"/>
        <n v="313562"/>
        <n v="89918"/>
        <n v="348686"/>
      </sharedItems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 count="198">
        <n v="23125"/>
        <n v="22788"/>
        <n v="7810"/>
        <n v="11966"/>
        <n v="26298"/>
        <n v="22029"/>
        <n v="12391"/>
        <n v="14477"/>
        <n v="25040"/>
        <n v="22619"/>
        <n v="12399"/>
        <n v="22456"/>
        <n v="19328"/>
        <n v="21107"/>
        <n v="12277"/>
        <n v="11684"/>
        <n v="14412"/>
        <n v="15924"/>
        <n v="12390"/>
        <n v="25742"/>
        <n v="10495"/>
        <n v="7797"/>
        <n v="15595"/>
        <n v="24617"/>
        <n v="9847"/>
        <n v="13644"/>
        <n v="11421"/>
        <n v="15613"/>
        <n v="23900"/>
        <n v="5836"/>
        <n v="5624"/>
        <n v="10311"/>
        <n v="8274"/>
        <n v="6031"/>
        <n v="27829"/>
        <n v="18267"/>
        <n v="26624"/>
        <n v="26644"/>
        <n v="13051"/>
        <n v="14217"/>
        <n v="16385"/>
        <n v="24548"/>
        <n v="9195"/>
        <n v="18071"/>
        <n v="16875"/>
        <n v="9567"/>
        <n v="20306"/>
        <n v="21134"/>
        <n v="26872"/>
        <n v="10253"/>
        <n v="23963"/>
        <n v="11335"/>
        <n v="12115"/>
        <n v="24358"/>
        <n v="12181"/>
        <n v="17729"/>
        <n v="10881"/>
        <n v="18576"/>
        <n v="9383"/>
        <n v="14178"/>
        <n v="21254"/>
        <n v="14215"/>
        <n v="16921"/>
        <n v="25130"/>
        <n v="25537"/>
        <n v="24943"/>
        <n v="14563"/>
        <n v="26273"/>
        <n v="10858"/>
        <n v="25038"/>
        <n v="9092"/>
        <n v="17662"/>
        <n v="5924"/>
        <n v="25347"/>
        <n v="8910"/>
        <n v="20438"/>
        <n v="8760"/>
        <n v="6625"/>
        <n v="23329"/>
        <n v="7299"/>
        <n v="14496"/>
        <n v="25703"/>
        <n v="15108"/>
        <n v="18867"/>
        <n v="17574"/>
        <n v="12840"/>
        <n v="21079"/>
        <n v="23486"/>
        <n v="5960"/>
        <n v="13301"/>
        <n v="10563"/>
        <n v="19949"/>
        <n v="14273"/>
        <n v="9247"/>
        <n v="11972"/>
        <n v="13314"/>
        <n v="14749"/>
        <n v="6868"/>
        <n v="6027"/>
        <n v="25267"/>
        <n v="5900"/>
        <n v="11181"/>
        <n v="9592"/>
        <n v="5291"/>
        <n v="22244"/>
        <n v="6824"/>
        <n v="24112"/>
        <n v="25478"/>
        <n v="11235"/>
        <n v="6120"/>
        <n v="20572"/>
        <n v="14975"/>
        <n v="22234"/>
        <n v="6532"/>
        <n v="24858"/>
        <n v="13883"/>
        <n v="18654"/>
        <n v="25234"/>
        <n v="6772"/>
        <n v="22428"/>
        <n v="11911"/>
        <n v="21900"/>
        <n v="25542"/>
        <n v="7140"/>
        <n v="20474"/>
        <n v="8698"/>
        <n v="10402"/>
        <n v="26618"/>
        <n v="7975"/>
        <n v="19054"/>
        <n v="13740"/>
        <n v="18442"/>
        <n v="10104"/>
        <n v="21771"/>
        <n v="22191"/>
        <n v="27753"/>
        <n v="23736"/>
        <n v="27393"/>
        <n v="10343"/>
        <n v="25259"/>
        <n v="24827"/>
        <n v="11908"/>
        <n v="11005"/>
        <n v="26333"/>
        <n v="5495"/>
        <n v="15655"/>
        <n v="13763"/>
        <n v="26073"/>
        <n v="12774"/>
        <n v="19000"/>
        <n v="14051"/>
        <n v="27782"/>
        <n v="7859"/>
        <n v="15773"/>
        <n v="20595"/>
        <n v="12031"/>
        <n v="15128"/>
        <n v="11826"/>
        <n v="12562"/>
        <n v="13013"/>
        <n v="12937"/>
        <n v="14534"/>
        <n v="8182"/>
        <n v="10615"/>
        <n v="20109"/>
        <n v="26024"/>
        <n v="26730"/>
        <n v="27575"/>
        <n v="14479"/>
        <n v="15915"/>
        <n v="12767"/>
        <n v="12170"/>
        <n v="7245"/>
        <n v="12985"/>
        <n v="16377"/>
        <n v="11453"/>
        <n v="12323"/>
        <n v="27809"/>
        <n v="21464"/>
        <n v="27126"/>
        <n v="10681"/>
        <n v="5413"/>
        <n v="25058"/>
        <n v="18303"/>
        <n v="5526"/>
        <n v="17460"/>
        <n v="14475"/>
        <n v="20162"/>
        <n v="17103"/>
        <n v="15461"/>
        <n v="22103"/>
        <n v="11625"/>
        <n v="5281"/>
        <n v="13424"/>
        <n v="13140"/>
        <n v="19538"/>
        <n v="7881"/>
        <n v="11418"/>
      </sharedItems>
    </cacheField>
    <cacheField name="Months (Week_Start_Date)" numFmtId="0" databaseField="0">
      <fieldGroup base="0">
        <rangePr groupBy="months" startDate="2024-06-03T00:00:00" endDate="2025-09-09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6/3/2024"/>
          <s v="Qtr1"/>
          <s v="Qtr2"/>
          <s v="Qtr3"/>
          <s v="Qtr4"/>
          <s v="&gt;9/9/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6/3/2024"/>
          <s v="2024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x v="0"/>
    <n v="9.92"/>
    <x v="0"/>
  </r>
  <r>
    <x v="0"/>
    <x v="1"/>
    <n v="995"/>
    <n v="86"/>
    <x v="1"/>
    <n v="8.0500000000000007"/>
    <x v="1"/>
  </r>
  <r>
    <x v="0"/>
    <x v="2"/>
    <n v="1472"/>
    <n v="296"/>
    <x v="2"/>
    <n v="7.72"/>
    <x v="2"/>
  </r>
  <r>
    <x v="1"/>
    <x v="0"/>
    <n v="1018"/>
    <n v="90"/>
    <x v="3"/>
    <n v="9.4"/>
    <x v="3"/>
  </r>
  <r>
    <x v="1"/>
    <x v="1"/>
    <n v="1461"/>
    <n v="64"/>
    <x v="4"/>
    <n v="9.02"/>
    <x v="4"/>
  </r>
  <r>
    <x v="1"/>
    <x v="2"/>
    <n v="545"/>
    <n v="93"/>
    <x v="5"/>
    <n v="9.9600000000000009"/>
    <x v="5"/>
  </r>
  <r>
    <x v="2"/>
    <x v="0"/>
    <n v="881"/>
    <n v="291"/>
    <x v="6"/>
    <n v="5.29"/>
    <x v="6"/>
  </r>
  <r>
    <x v="2"/>
    <x v="1"/>
    <n v="1414"/>
    <n v="131"/>
    <x v="7"/>
    <n v="8.3000000000000007"/>
    <x v="7"/>
  </r>
  <r>
    <x v="2"/>
    <x v="2"/>
    <n v="1472"/>
    <n v="170"/>
    <x v="8"/>
    <n v="4.66"/>
    <x v="8"/>
  </r>
  <r>
    <x v="3"/>
    <x v="0"/>
    <n v="809"/>
    <n v="197"/>
    <x v="9"/>
    <n v="9.48"/>
    <x v="9"/>
  </r>
  <r>
    <x v="3"/>
    <x v="1"/>
    <n v="1371"/>
    <n v="250"/>
    <x v="10"/>
    <n v="7.11"/>
    <x v="10"/>
  </r>
  <r>
    <x v="3"/>
    <x v="2"/>
    <n v="844"/>
    <n v="144"/>
    <x v="11"/>
    <n v="9.65"/>
    <x v="11"/>
  </r>
  <r>
    <x v="4"/>
    <x v="0"/>
    <n v="786"/>
    <n v="72"/>
    <x v="12"/>
    <n v="5.43"/>
    <x v="12"/>
  </r>
  <r>
    <x v="4"/>
    <x v="1"/>
    <n v="845"/>
    <n v="250"/>
    <x v="13"/>
    <n v="4.5199999999999996"/>
    <x v="13"/>
  </r>
  <r>
    <x v="4"/>
    <x v="2"/>
    <n v="1218"/>
    <n v="101"/>
    <x v="14"/>
    <n v="4.33"/>
    <x v="14"/>
  </r>
  <r>
    <x v="5"/>
    <x v="0"/>
    <n v="797"/>
    <n v="130"/>
    <x v="15"/>
    <n v="8.52"/>
    <x v="15"/>
  </r>
  <r>
    <x v="5"/>
    <x v="1"/>
    <n v="1471"/>
    <n v="100"/>
    <x v="16"/>
    <n v="8.5500000000000007"/>
    <x v="16"/>
  </r>
  <r>
    <x v="5"/>
    <x v="2"/>
    <n v="1253"/>
    <n v="136"/>
    <x v="17"/>
    <n v="7.99"/>
    <x v="17"/>
  </r>
  <r>
    <x v="6"/>
    <x v="0"/>
    <n v="616"/>
    <n v="257"/>
    <x v="18"/>
    <n v="6.31"/>
    <x v="18"/>
  </r>
  <r>
    <x v="6"/>
    <x v="1"/>
    <n v="1308"/>
    <n v="210"/>
    <x v="19"/>
    <n v="8.5299999999999994"/>
    <x v="19"/>
  </r>
  <r>
    <x v="6"/>
    <x v="2"/>
    <n v="981"/>
    <n v="69"/>
    <x v="20"/>
    <n v="8.42"/>
    <x v="20"/>
  </r>
  <r>
    <x v="7"/>
    <x v="0"/>
    <n v="866"/>
    <n v="74"/>
    <x v="21"/>
    <n v="9.34"/>
    <x v="21"/>
  </r>
  <r>
    <x v="7"/>
    <x v="1"/>
    <n v="547"/>
    <n v="183"/>
    <x v="22"/>
    <n v="5.65"/>
    <x v="22"/>
  </r>
  <r>
    <x v="7"/>
    <x v="2"/>
    <n v="1241"/>
    <n v="116"/>
    <x v="23"/>
    <n v="4.2"/>
    <x v="23"/>
  </r>
  <r>
    <x v="8"/>
    <x v="0"/>
    <n v="973"/>
    <n v="104"/>
    <x v="24"/>
    <n v="3.87"/>
    <x v="24"/>
  </r>
  <r>
    <x v="8"/>
    <x v="1"/>
    <n v="611"/>
    <n v="197"/>
    <x v="25"/>
    <n v="5.82"/>
    <x v="25"/>
  </r>
  <r>
    <x v="8"/>
    <x v="2"/>
    <n v="983"/>
    <n v="134"/>
    <x v="26"/>
    <n v="3.55"/>
    <x v="26"/>
  </r>
  <r>
    <x v="9"/>
    <x v="0"/>
    <n v="1449"/>
    <n v="96"/>
    <x v="27"/>
    <n v="9.92"/>
    <x v="27"/>
  </r>
  <r>
    <x v="9"/>
    <x v="1"/>
    <n v="752"/>
    <n v="170"/>
    <x v="28"/>
    <n v="8.17"/>
    <x v="28"/>
  </r>
  <r>
    <x v="9"/>
    <x v="2"/>
    <n v="937"/>
    <n v="179"/>
    <x v="29"/>
    <n v="5.3"/>
    <x v="29"/>
  </r>
  <r>
    <x v="10"/>
    <x v="0"/>
    <n v="1060"/>
    <n v="83"/>
    <x v="30"/>
    <n v="5.98"/>
    <x v="30"/>
  </r>
  <r>
    <x v="10"/>
    <x v="1"/>
    <n v="1456"/>
    <n v="265"/>
    <x v="31"/>
    <n v="7.49"/>
    <x v="31"/>
  </r>
  <r>
    <x v="10"/>
    <x v="2"/>
    <n v="1109"/>
    <n v="205"/>
    <x v="32"/>
    <n v="9.3800000000000008"/>
    <x v="32"/>
  </r>
  <r>
    <x v="11"/>
    <x v="0"/>
    <n v="1002"/>
    <n v="93"/>
    <x v="33"/>
    <n v="5.84"/>
    <x v="33"/>
  </r>
  <r>
    <x v="11"/>
    <x v="1"/>
    <n v="571"/>
    <n v="189"/>
    <x v="34"/>
    <n v="5.41"/>
    <x v="34"/>
  </r>
  <r>
    <x v="11"/>
    <x v="2"/>
    <n v="1240"/>
    <n v="231"/>
    <x v="35"/>
    <n v="6.05"/>
    <x v="35"/>
  </r>
  <r>
    <x v="12"/>
    <x v="0"/>
    <n v="1154"/>
    <n v="132"/>
    <x v="36"/>
    <n v="7.54"/>
    <x v="36"/>
  </r>
  <r>
    <x v="12"/>
    <x v="1"/>
    <n v="537"/>
    <n v="275"/>
    <x v="37"/>
    <n v="5.87"/>
    <x v="37"/>
  </r>
  <r>
    <x v="12"/>
    <x v="2"/>
    <n v="1456"/>
    <n v="290"/>
    <x v="38"/>
    <n v="7.17"/>
    <x v="38"/>
  </r>
  <r>
    <x v="13"/>
    <x v="0"/>
    <n v="721"/>
    <n v="206"/>
    <x v="39"/>
    <n v="6.05"/>
    <x v="39"/>
  </r>
  <r>
    <x v="13"/>
    <x v="1"/>
    <n v="1098"/>
    <n v="142"/>
    <x v="40"/>
    <n v="7.51"/>
    <x v="40"/>
  </r>
  <r>
    <x v="13"/>
    <x v="2"/>
    <n v="1096"/>
    <n v="65"/>
    <x v="41"/>
    <n v="7.66"/>
    <x v="41"/>
  </r>
  <r>
    <x v="14"/>
    <x v="0"/>
    <n v="912"/>
    <n v="275"/>
    <x v="42"/>
    <n v="6.03"/>
    <x v="42"/>
  </r>
  <r>
    <x v="14"/>
    <x v="1"/>
    <n v="1430"/>
    <n v="162"/>
    <x v="43"/>
    <n v="3.4"/>
    <x v="43"/>
  </r>
  <r>
    <x v="14"/>
    <x v="2"/>
    <n v="854"/>
    <n v="129"/>
    <x v="44"/>
    <n v="7.83"/>
    <x v="44"/>
  </r>
  <r>
    <x v="15"/>
    <x v="0"/>
    <n v="681"/>
    <n v="210"/>
    <x v="45"/>
    <n v="8.76"/>
    <x v="45"/>
  </r>
  <r>
    <x v="15"/>
    <x v="1"/>
    <n v="1373"/>
    <n v="82"/>
    <x v="46"/>
    <n v="9.52"/>
    <x v="46"/>
  </r>
  <r>
    <x v="15"/>
    <x v="2"/>
    <n v="685"/>
    <n v="285"/>
    <x v="47"/>
    <n v="3.36"/>
    <x v="47"/>
  </r>
  <r>
    <x v="16"/>
    <x v="0"/>
    <n v="1290"/>
    <n v="177"/>
    <x v="48"/>
    <n v="9.2200000000000006"/>
    <x v="48"/>
  </r>
  <r>
    <x v="16"/>
    <x v="1"/>
    <n v="1437"/>
    <n v="239"/>
    <x v="49"/>
    <n v="5.57"/>
    <x v="49"/>
  </r>
  <r>
    <x v="16"/>
    <x v="2"/>
    <n v="769"/>
    <n v="295"/>
    <x v="50"/>
    <n v="8.06"/>
    <x v="50"/>
  </r>
  <r>
    <x v="17"/>
    <x v="0"/>
    <n v="1416"/>
    <n v="284"/>
    <x v="51"/>
    <n v="3.45"/>
    <x v="51"/>
  </r>
  <r>
    <x v="17"/>
    <x v="1"/>
    <n v="998"/>
    <n v="154"/>
    <x v="52"/>
    <n v="9.58"/>
    <x v="52"/>
  </r>
  <r>
    <x v="17"/>
    <x v="2"/>
    <n v="1421"/>
    <n v="246"/>
    <x v="53"/>
    <n v="8.8800000000000008"/>
    <x v="53"/>
  </r>
  <r>
    <x v="18"/>
    <x v="0"/>
    <n v="764"/>
    <n v="205"/>
    <x v="54"/>
    <n v="6.23"/>
    <x v="54"/>
  </r>
  <r>
    <x v="18"/>
    <x v="1"/>
    <n v="678"/>
    <n v="124"/>
    <x v="55"/>
    <n v="8.4499999999999993"/>
    <x v="55"/>
  </r>
  <r>
    <x v="18"/>
    <x v="2"/>
    <n v="1328"/>
    <n v="103"/>
    <x v="56"/>
    <n v="8.4"/>
    <x v="56"/>
  </r>
  <r>
    <x v="19"/>
    <x v="0"/>
    <n v="1161"/>
    <n v="269"/>
    <x v="57"/>
    <n v="7.34"/>
    <x v="57"/>
  </r>
  <r>
    <x v="19"/>
    <x v="1"/>
    <n v="588"/>
    <n v="52"/>
    <x v="58"/>
    <n v="8.14"/>
    <x v="58"/>
  </r>
  <r>
    <x v="19"/>
    <x v="2"/>
    <n v="1457"/>
    <n v="215"/>
    <x v="59"/>
    <n v="9.58"/>
    <x v="59"/>
  </r>
  <r>
    <x v="20"/>
    <x v="0"/>
    <n v="1190"/>
    <n v="242"/>
    <x v="60"/>
    <n v="8.06"/>
    <x v="60"/>
  </r>
  <r>
    <x v="20"/>
    <x v="1"/>
    <n v="886"/>
    <n v="124"/>
    <x v="61"/>
    <n v="8.19"/>
    <x v="61"/>
  </r>
  <r>
    <x v="20"/>
    <x v="2"/>
    <n v="1237"/>
    <n v="155"/>
    <x v="62"/>
    <n v="4.4800000000000004"/>
    <x v="62"/>
  </r>
  <r>
    <x v="21"/>
    <x v="0"/>
    <n v="1435"/>
    <n v="261"/>
    <x v="63"/>
    <n v="4.5199999999999996"/>
    <x v="63"/>
  </r>
  <r>
    <x v="21"/>
    <x v="1"/>
    <n v="746"/>
    <n v="282"/>
    <x v="64"/>
    <n v="5.42"/>
    <x v="64"/>
  </r>
  <r>
    <x v="21"/>
    <x v="2"/>
    <n v="759"/>
    <n v="216"/>
    <x v="65"/>
    <n v="4.08"/>
    <x v="65"/>
  </r>
  <r>
    <x v="22"/>
    <x v="0"/>
    <n v="1437"/>
    <n v="235"/>
    <x v="66"/>
    <n v="4.0599999999999996"/>
    <x v="66"/>
  </r>
  <r>
    <x v="22"/>
    <x v="1"/>
    <n v="1463"/>
    <n v="73"/>
    <x v="67"/>
    <n v="9.91"/>
    <x v="67"/>
  </r>
  <r>
    <x v="22"/>
    <x v="2"/>
    <n v="1208"/>
    <n v="224"/>
    <x v="68"/>
    <n v="8.7200000000000006"/>
    <x v="68"/>
  </r>
  <r>
    <x v="23"/>
    <x v="0"/>
    <n v="1391"/>
    <n v="187"/>
    <x v="69"/>
    <n v="8.3800000000000008"/>
    <x v="69"/>
  </r>
  <r>
    <x v="23"/>
    <x v="1"/>
    <n v="655"/>
    <n v="123"/>
    <x v="70"/>
    <n v="7.56"/>
    <x v="70"/>
  </r>
  <r>
    <x v="23"/>
    <x v="2"/>
    <n v="1148"/>
    <n v="90"/>
    <x v="71"/>
    <n v="7.24"/>
    <x v="71"/>
  </r>
  <r>
    <x v="24"/>
    <x v="0"/>
    <n v="946"/>
    <n v="270"/>
    <x v="72"/>
    <n v="4.53"/>
    <x v="72"/>
  </r>
  <r>
    <x v="24"/>
    <x v="1"/>
    <n v="791"/>
    <n v="214"/>
    <x v="73"/>
    <n v="6.62"/>
    <x v="73"/>
  </r>
  <r>
    <x v="24"/>
    <x v="2"/>
    <n v="793"/>
    <n v="111"/>
    <x v="74"/>
    <n v="6.36"/>
    <x v="74"/>
  </r>
  <r>
    <x v="25"/>
    <x v="0"/>
    <n v="663"/>
    <n v="213"/>
    <x v="75"/>
    <n v="9"/>
    <x v="75"/>
  </r>
  <r>
    <x v="25"/>
    <x v="1"/>
    <n v="954"/>
    <n v="271"/>
    <x v="76"/>
    <n v="8.83"/>
    <x v="76"/>
  </r>
  <r>
    <x v="25"/>
    <x v="2"/>
    <n v="1313"/>
    <n v="159"/>
    <x v="77"/>
    <n v="9.7100000000000009"/>
    <x v="77"/>
  </r>
  <r>
    <x v="26"/>
    <x v="0"/>
    <n v="895"/>
    <n v="87"/>
    <x v="78"/>
    <n v="6.68"/>
    <x v="78"/>
  </r>
  <r>
    <x v="26"/>
    <x v="1"/>
    <n v="1027"/>
    <n v="156"/>
    <x v="79"/>
    <n v="5.51"/>
    <x v="79"/>
  </r>
  <r>
    <x v="26"/>
    <x v="2"/>
    <n v="990"/>
    <n v="286"/>
    <x v="80"/>
    <n v="7.97"/>
    <x v="80"/>
  </r>
  <r>
    <x v="27"/>
    <x v="0"/>
    <n v="875"/>
    <n v="264"/>
    <x v="81"/>
    <n v="9.18"/>
    <x v="81"/>
  </r>
  <r>
    <x v="27"/>
    <x v="1"/>
    <n v="599"/>
    <n v="194"/>
    <x v="82"/>
    <n v="6.44"/>
    <x v="82"/>
  </r>
  <r>
    <x v="27"/>
    <x v="2"/>
    <n v="630"/>
    <n v="248"/>
    <x v="83"/>
    <n v="5.0199999999999996"/>
    <x v="83"/>
  </r>
  <r>
    <x v="28"/>
    <x v="0"/>
    <n v="1350"/>
    <n v="233"/>
    <x v="84"/>
    <n v="4.53"/>
    <x v="84"/>
  </r>
  <r>
    <x v="28"/>
    <x v="1"/>
    <n v="632"/>
    <n v="155"/>
    <x v="85"/>
    <n v="9.17"/>
    <x v="85"/>
  </r>
  <r>
    <x v="28"/>
    <x v="2"/>
    <n v="1182"/>
    <n v="83"/>
    <x v="86"/>
    <n v="3.27"/>
    <x v="86"/>
  </r>
  <r>
    <x v="29"/>
    <x v="0"/>
    <n v="661"/>
    <n v="94"/>
    <x v="87"/>
    <n v="5.31"/>
    <x v="87"/>
  </r>
  <r>
    <x v="29"/>
    <x v="1"/>
    <n v="1360"/>
    <n v="227"/>
    <x v="88"/>
    <n v="6.03"/>
    <x v="88"/>
  </r>
  <r>
    <x v="29"/>
    <x v="2"/>
    <n v="935"/>
    <n v="85"/>
    <x v="89"/>
    <n v="8.89"/>
    <x v="89"/>
  </r>
  <r>
    <x v="30"/>
    <x v="0"/>
    <n v="664"/>
    <n v="251"/>
    <x v="90"/>
    <n v="4.79"/>
    <x v="90"/>
  </r>
  <r>
    <x v="30"/>
    <x v="1"/>
    <n v="1490"/>
    <n v="103"/>
    <x v="91"/>
    <n v="4.8"/>
    <x v="91"/>
  </r>
  <r>
    <x v="30"/>
    <x v="2"/>
    <n v="601"/>
    <n v="64"/>
    <x v="92"/>
    <n v="4.07"/>
    <x v="92"/>
  </r>
  <r>
    <x v="31"/>
    <x v="0"/>
    <n v="613"/>
    <n v="170"/>
    <x v="93"/>
    <n v="6.06"/>
    <x v="93"/>
  </r>
  <r>
    <x v="31"/>
    <x v="1"/>
    <n v="1340"/>
    <n v="57"/>
    <x v="94"/>
    <n v="7.79"/>
    <x v="94"/>
  </r>
  <r>
    <x v="31"/>
    <x v="2"/>
    <n v="953"/>
    <n v="228"/>
    <x v="95"/>
    <n v="9.0500000000000007"/>
    <x v="95"/>
  </r>
  <r>
    <x v="32"/>
    <x v="0"/>
    <n v="532"/>
    <n v="65"/>
    <x v="96"/>
    <n v="3.5"/>
    <x v="96"/>
  </r>
  <r>
    <x v="32"/>
    <x v="1"/>
    <n v="1414"/>
    <n v="60"/>
    <x v="97"/>
    <n v="8.76"/>
    <x v="97"/>
  </r>
  <r>
    <x v="32"/>
    <x v="2"/>
    <n v="685"/>
    <n v="165"/>
    <x v="98"/>
    <n v="6.26"/>
    <x v="98"/>
  </r>
  <r>
    <x v="33"/>
    <x v="0"/>
    <n v="601"/>
    <n v="159"/>
    <x v="99"/>
    <n v="3.33"/>
    <x v="99"/>
  </r>
  <r>
    <x v="33"/>
    <x v="1"/>
    <n v="841"/>
    <n v="295"/>
    <x v="100"/>
    <n v="9.15"/>
    <x v="100"/>
  </r>
  <r>
    <x v="33"/>
    <x v="2"/>
    <n v="1105"/>
    <n v="261"/>
    <x v="101"/>
    <n v="6.03"/>
    <x v="101"/>
  </r>
  <r>
    <x v="34"/>
    <x v="0"/>
    <n v="566"/>
    <n v="225"/>
    <x v="102"/>
    <n v="9.82"/>
    <x v="102"/>
  </r>
  <r>
    <x v="34"/>
    <x v="1"/>
    <n v="1149"/>
    <n v="280"/>
    <x v="103"/>
    <n v="3.7"/>
    <x v="103"/>
  </r>
  <r>
    <x v="34"/>
    <x v="2"/>
    <n v="819"/>
    <n v="101"/>
    <x v="104"/>
    <n v="3.35"/>
    <x v="104"/>
  </r>
  <r>
    <x v="35"/>
    <x v="0"/>
    <n v="795"/>
    <n v="60"/>
    <x v="105"/>
    <n v="7.31"/>
    <x v="105"/>
  </r>
  <r>
    <x v="35"/>
    <x v="1"/>
    <n v="681"/>
    <n v="158"/>
    <x v="106"/>
    <n v="3.13"/>
    <x v="106"/>
  </r>
  <r>
    <x v="35"/>
    <x v="2"/>
    <n v="534"/>
    <n v="112"/>
    <x v="107"/>
    <n v="4.8899999999999997"/>
    <x v="107"/>
  </r>
  <r>
    <x v="36"/>
    <x v="0"/>
    <n v="1066"/>
    <n v="151"/>
    <x v="108"/>
    <n v="8.6300000000000008"/>
    <x v="108"/>
  </r>
  <r>
    <x v="36"/>
    <x v="1"/>
    <n v="1270"/>
    <n v="162"/>
    <x v="109"/>
    <n v="8.0299999999999994"/>
    <x v="109"/>
  </r>
  <r>
    <x v="36"/>
    <x v="2"/>
    <n v="536"/>
    <n v="198"/>
    <x v="110"/>
    <n v="7.85"/>
    <x v="110"/>
  </r>
  <r>
    <x v="37"/>
    <x v="0"/>
    <n v="819"/>
    <n v="95"/>
    <x v="111"/>
    <n v="6.12"/>
    <x v="111"/>
  </r>
  <r>
    <x v="37"/>
    <x v="1"/>
    <n v="681"/>
    <n v="218"/>
    <x v="112"/>
    <n v="7.16"/>
    <x v="112"/>
  </r>
  <r>
    <x v="37"/>
    <x v="2"/>
    <n v="646"/>
    <n v="290"/>
    <x v="113"/>
    <n v="7.04"/>
    <x v="113"/>
  </r>
  <r>
    <x v="38"/>
    <x v="0"/>
    <n v="645"/>
    <n v="267"/>
    <x v="114"/>
    <n v="3.71"/>
    <x v="114"/>
  </r>
  <r>
    <x v="38"/>
    <x v="1"/>
    <n v="886"/>
    <n v="250"/>
    <x v="115"/>
    <n v="4.12"/>
    <x v="115"/>
  </r>
  <r>
    <x v="38"/>
    <x v="2"/>
    <n v="978"/>
    <n v="279"/>
    <x v="116"/>
    <n v="6.82"/>
    <x v="116"/>
  </r>
  <r>
    <x v="39"/>
    <x v="0"/>
    <n v="1444"/>
    <n v="165"/>
    <x v="117"/>
    <n v="8.2200000000000006"/>
    <x v="117"/>
  </r>
  <r>
    <x v="39"/>
    <x v="1"/>
    <n v="1234"/>
    <n v="228"/>
    <x v="118"/>
    <n v="7.71"/>
    <x v="118"/>
  </r>
  <r>
    <x v="39"/>
    <x v="2"/>
    <n v="665"/>
    <n v="187"/>
    <x v="119"/>
    <n v="7.39"/>
    <x v="119"/>
  </r>
  <r>
    <x v="40"/>
    <x v="0"/>
    <n v="631"/>
    <n v="86"/>
    <x v="120"/>
    <n v="7.89"/>
    <x v="120"/>
  </r>
  <r>
    <x v="40"/>
    <x v="1"/>
    <n v="1159"/>
    <n v="154"/>
    <x v="121"/>
    <n v="6.39"/>
    <x v="121"/>
  </r>
  <r>
    <x v="40"/>
    <x v="2"/>
    <n v="950"/>
    <n v="185"/>
    <x v="122"/>
    <n v="6.77"/>
    <x v="122"/>
  </r>
  <r>
    <x v="41"/>
    <x v="0"/>
    <n v="693"/>
    <n v="129"/>
    <x v="123"/>
    <n v="3.41"/>
    <x v="123"/>
  </r>
  <r>
    <x v="41"/>
    <x v="1"/>
    <n v="576"/>
    <n v="80"/>
    <x v="124"/>
    <n v="4.1100000000000003"/>
    <x v="124"/>
  </r>
  <r>
    <x v="41"/>
    <x v="2"/>
    <n v="1274"/>
    <n v="146"/>
    <x v="125"/>
    <n v="9.58"/>
    <x v="125"/>
  </r>
  <r>
    <x v="42"/>
    <x v="0"/>
    <n v="818"/>
    <n v="253"/>
    <x v="126"/>
    <n v="3.39"/>
    <x v="126"/>
  </r>
  <r>
    <x v="42"/>
    <x v="1"/>
    <n v="975"/>
    <n v="162"/>
    <x v="127"/>
    <n v="9.58"/>
    <x v="127"/>
  </r>
  <r>
    <x v="42"/>
    <x v="2"/>
    <n v="1398"/>
    <n v="97"/>
    <x v="128"/>
    <n v="5.09"/>
    <x v="128"/>
  </r>
  <r>
    <x v="43"/>
    <x v="0"/>
    <n v="591"/>
    <n v="155"/>
    <x v="129"/>
    <n v="7.85"/>
    <x v="129"/>
  </r>
  <r>
    <x v="43"/>
    <x v="1"/>
    <n v="1232"/>
    <n v="254"/>
    <x v="130"/>
    <n v="9.7100000000000009"/>
    <x v="130"/>
  </r>
  <r>
    <x v="43"/>
    <x v="2"/>
    <n v="1425"/>
    <n v="58"/>
    <x v="131"/>
    <n v="6.67"/>
    <x v="131"/>
  </r>
  <r>
    <x v="44"/>
    <x v="0"/>
    <n v="1417"/>
    <n v="80"/>
    <x v="132"/>
    <n v="6.13"/>
    <x v="132"/>
  </r>
  <r>
    <x v="44"/>
    <x v="1"/>
    <n v="1222"/>
    <n v="208"/>
    <x v="133"/>
    <n v="7.34"/>
    <x v="133"/>
  </r>
  <r>
    <x v="44"/>
    <x v="2"/>
    <n v="1071"/>
    <n v="131"/>
    <x v="134"/>
    <n v="6.87"/>
    <x v="134"/>
  </r>
  <r>
    <x v="45"/>
    <x v="0"/>
    <n v="772"/>
    <n v="82"/>
    <x v="135"/>
    <n v="3.52"/>
    <x v="135"/>
  </r>
  <r>
    <x v="45"/>
    <x v="1"/>
    <n v="1472"/>
    <n v="137"/>
    <x v="136"/>
    <n v="6.96"/>
    <x v="136"/>
  </r>
  <r>
    <x v="45"/>
    <x v="2"/>
    <n v="1472"/>
    <n v="281"/>
    <x v="137"/>
    <n v="7.23"/>
    <x v="137"/>
  </r>
  <r>
    <x v="46"/>
    <x v="0"/>
    <n v="585"/>
    <n v="232"/>
    <x v="138"/>
    <n v="7.42"/>
    <x v="138"/>
  </r>
  <r>
    <x v="46"/>
    <x v="1"/>
    <n v="747"/>
    <n v="261"/>
    <x v="139"/>
    <n v="7.73"/>
    <x v="139"/>
  </r>
  <r>
    <x v="46"/>
    <x v="2"/>
    <n v="1113"/>
    <n v="224"/>
    <x v="140"/>
    <n v="5.13"/>
    <x v="140"/>
  </r>
  <r>
    <x v="47"/>
    <x v="0"/>
    <n v="1100"/>
    <n v="117"/>
    <x v="141"/>
    <n v="4.4000000000000004"/>
    <x v="141"/>
  </r>
  <r>
    <x v="47"/>
    <x v="1"/>
    <n v="751"/>
    <n v="170"/>
    <x v="142"/>
    <n v="3.49"/>
    <x v="142"/>
  </r>
  <r>
    <x v="47"/>
    <x v="2"/>
    <n v="864"/>
    <n v="50"/>
    <x v="143"/>
    <n v="3.57"/>
    <x v="143"/>
  </r>
  <r>
    <x v="48"/>
    <x v="0"/>
    <n v="1146"/>
    <n v="227"/>
    <x v="144"/>
    <n v="6.41"/>
    <x v="144"/>
  </r>
  <r>
    <x v="48"/>
    <x v="1"/>
    <n v="883"/>
    <n v="207"/>
    <x v="145"/>
    <n v="6.04"/>
    <x v="145"/>
  </r>
  <r>
    <x v="48"/>
    <x v="2"/>
    <n v="622"/>
    <n v="163"/>
    <x v="146"/>
    <n v="9.18"/>
    <x v="146"/>
  </r>
  <r>
    <x v="49"/>
    <x v="0"/>
    <n v="837"/>
    <n v="261"/>
    <x v="147"/>
    <n v="6.54"/>
    <x v="147"/>
  </r>
  <r>
    <x v="49"/>
    <x v="1"/>
    <n v="544"/>
    <n v="97"/>
    <x v="148"/>
    <n v="8.66"/>
    <x v="148"/>
  </r>
  <r>
    <x v="49"/>
    <x v="2"/>
    <n v="624"/>
    <n v="247"/>
    <x v="149"/>
    <n v="3.89"/>
    <x v="149"/>
  </r>
  <r>
    <x v="50"/>
    <x v="0"/>
    <n v="1073"/>
    <n v="141"/>
    <x v="150"/>
    <n v="7.95"/>
    <x v="150"/>
  </r>
  <r>
    <x v="50"/>
    <x v="1"/>
    <n v="1430"/>
    <n v="74"/>
    <x v="151"/>
    <n v="6.66"/>
    <x v="151"/>
  </r>
  <r>
    <x v="50"/>
    <x v="2"/>
    <n v="1358"/>
    <n v="77"/>
    <x v="152"/>
    <n v="5.25"/>
    <x v="152"/>
  </r>
  <r>
    <x v="51"/>
    <x v="0"/>
    <n v="1242"/>
    <n v="201"/>
    <x v="153"/>
    <n v="5.07"/>
    <x v="153"/>
  </r>
  <r>
    <x v="51"/>
    <x v="1"/>
    <n v="1389"/>
    <n v="205"/>
    <x v="154"/>
    <n v="7.62"/>
    <x v="154"/>
  </r>
  <r>
    <x v="51"/>
    <x v="2"/>
    <n v="826"/>
    <n v="142"/>
    <x v="155"/>
    <n v="7.44"/>
    <x v="155"/>
  </r>
  <r>
    <x v="52"/>
    <x v="0"/>
    <n v="618"/>
    <n v="264"/>
    <x v="156"/>
    <n v="4.8600000000000003"/>
    <x v="156"/>
  </r>
  <r>
    <x v="52"/>
    <x v="1"/>
    <n v="1419"/>
    <n v="293"/>
    <x v="157"/>
    <n v="6.93"/>
    <x v="157"/>
  </r>
  <r>
    <x v="52"/>
    <x v="2"/>
    <n v="637"/>
    <n v="68"/>
    <x v="158"/>
    <n v="9.99"/>
    <x v="158"/>
  </r>
  <r>
    <x v="53"/>
    <x v="0"/>
    <n v="917"/>
    <n v="187"/>
    <x v="159"/>
    <n v="5.22"/>
    <x v="159"/>
  </r>
  <r>
    <x v="53"/>
    <x v="1"/>
    <n v="810"/>
    <n v="232"/>
    <x v="160"/>
    <n v="5.17"/>
    <x v="160"/>
  </r>
  <r>
    <x v="53"/>
    <x v="2"/>
    <n v="1183"/>
    <n v="248"/>
    <x v="161"/>
    <n v="5.17"/>
    <x v="161"/>
  </r>
  <r>
    <x v="54"/>
    <x v="0"/>
    <n v="765"/>
    <n v="67"/>
    <x v="162"/>
    <n v="6.18"/>
    <x v="162"/>
  </r>
  <r>
    <x v="54"/>
    <x v="1"/>
    <n v="540"/>
    <n v="215"/>
    <x v="163"/>
    <n v="5.3"/>
    <x v="163"/>
  </r>
  <r>
    <x v="54"/>
    <x v="2"/>
    <n v="1145"/>
    <n v="151"/>
    <x v="164"/>
    <n v="5.99"/>
    <x v="164"/>
  </r>
  <r>
    <x v="55"/>
    <x v="0"/>
    <n v="564"/>
    <n v="244"/>
    <x v="165"/>
    <n v="8.43"/>
    <x v="165"/>
  </r>
  <r>
    <x v="55"/>
    <x v="1"/>
    <n v="668"/>
    <n v="124"/>
    <x v="166"/>
    <n v="7.55"/>
    <x v="166"/>
  </r>
  <r>
    <x v="55"/>
    <x v="2"/>
    <n v="761"/>
    <n v="241"/>
    <x v="167"/>
    <n v="5.63"/>
    <x v="90"/>
  </r>
  <r>
    <x v="56"/>
    <x v="0"/>
    <n v="593"/>
    <n v="108"/>
    <x v="168"/>
    <n v="4.71"/>
    <x v="167"/>
  </r>
  <r>
    <x v="56"/>
    <x v="1"/>
    <n v="1349"/>
    <n v="115"/>
    <x v="169"/>
    <n v="5.28"/>
    <x v="168"/>
  </r>
  <r>
    <x v="56"/>
    <x v="2"/>
    <n v="693"/>
    <n v="97"/>
    <x v="170"/>
    <n v="5.95"/>
    <x v="169"/>
  </r>
  <r>
    <x v="57"/>
    <x v="0"/>
    <n v="974"/>
    <n v="143"/>
    <x v="171"/>
    <n v="9.98"/>
    <x v="170"/>
  </r>
  <r>
    <x v="57"/>
    <x v="1"/>
    <n v="1155"/>
    <n v="122"/>
    <x v="172"/>
    <n v="9.93"/>
    <x v="171"/>
  </r>
  <r>
    <x v="57"/>
    <x v="2"/>
    <n v="1051"/>
    <n v="246"/>
    <x v="173"/>
    <n v="9.08"/>
    <x v="172"/>
  </r>
  <r>
    <x v="58"/>
    <x v="0"/>
    <n v="1457"/>
    <n v="183"/>
    <x v="174"/>
    <n v="7.98"/>
    <x v="173"/>
  </r>
  <r>
    <x v="58"/>
    <x v="1"/>
    <n v="670"/>
    <n v="242"/>
    <x v="175"/>
    <n v="9.6199999999999992"/>
    <x v="174"/>
  </r>
  <r>
    <x v="58"/>
    <x v="2"/>
    <n v="1111"/>
    <n v="159"/>
    <x v="176"/>
    <n v="8.7100000000000009"/>
    <x v="175"/>
  </r>
  <r>
    <x v="59"/>
    <x v="0"/>
    <n v="1197"/>
    <n v="246"/>
    <x v="177"/>
    <n v="6.69"/>
    <x v="176"/>
  </r>
  <r>
    <x v="59"/>
    <x v="1"/>
    <n v="754"/>
    <n v="150"/>
    <x v="178"/>
    <n v="4.25"/>
    <x v="120"/>
  </r>
  <r>
    <x v="59"/>
    <x v="2"/>
    <n v="1246"/>
    <n v="107"/>
    <x v="179"/>
    <n v="4.9800000000000004"/>
    <x v="177"/>
  </r>
  <r>
    <x v="60"/>
    <x v="0"/>
    <n v="780"/>
    <n v="213"/>
    <x v="180"/>
    <n v="4.97"/>
    <x v="178"/>
  </r>
  <r>
    <x v="60"/>
    <x v="1"/>
    <n v="1425"/>
    <n v="143"/>
    <x v="181"/>
    <n v="3.71"/>
    <x v="179"/>
  </r>
  <r>
    <x v="60"/>
    <x v="2"/>
    <n v="1490"/>
    <n v="103"/>
    <x v="182"/>
    <n v="7.79"/>
    <x v="180"/>
  </r>
  <r>
    <x v="61"/>
    <x v="0"/>
    <n v="949"/>
    <n v="282"/>
    <x v="183"/>
    <n v="4.96"/>
    <x v="181"/>
  </r>
  <r>
    <x v="61"/>
    <x v="1"/>
    <n v="640"/>
    <n v="141"/>
    <x v="184"/>
    <n v="8.58"/>
    <x v="182"/>
  </r>
  <r>
    <x v="61"/>
    <x v="2"/>
    <n v="616"/>
    <n v="93"/>
    <x v="185"/>
    <n v="8.51"/>
    <x v="183"/>
  </r>
  <r>
    <x v="62"/>
    <x v="0"/>
    <n v="1080"/>
    <n v="184"/>
    <x v="186"/>
    <n v="5.41"/>
    <x v="184"/>
  </r>
  <r>
    <x v="62"/>
    <x v="1"/>
    <n v="938"/>
    <n v="236"/>
    <x v="187"/>
    <n v="8.7200000000000006"/>
    <x v="185"/>
  </r>
  <r>
    <x v="62"/>
    <x v="2"/>
    <n v="1007"/>
    <n v="258"/>
    <x v="188"/>
    <n v="7.71"/>
    <x v="186"/>
  </r>
  <r>
    <x v="63"/>
    <x v="0"/>
    <n v="541"/>
    <n v="208"/>
    <x v="189"/>
    <n v="8.35"/>
    <x v="187"/>
  </r>
  <r>
    <x v="63"/>
    <x v="1"/>
    <n v="745"/>
    <n v="98"/>
    <x v="190"/>
    <n v="4.03"/>
    <x v="188"/>
  </r>
  <r>
    <x v="63"/>
    <x v="2"/>
    <n v="936"/>
    <n v="97"/>
    <x v="191"/>
    <n v="9.3699999999999992"/>
    <x v="189"/>
  </r>
  <r>
    <x v="64"/>
    <x v="0"/>
    <n v="1183"/>
    <n v="223"/>
    <x v="192"/>
    <n v="6.07"/>
    <x v="190"/>
  </r>
  <r>
    <x v="64"/>
    <x v="1"/>
    <n v="1413"/>
    <n v="245"/>
    <x v="193"/>
    <n v="6.52"/>
    <x v="191"/>
  </r>
  <r>
    <x v="64"/>
    <x v="2"/>
    <n v="791"/>
    <n v="273"/>
    <x v="194"/>
    <n v="3.08"/>
    <x v="192"/>
  </r>
  <r>
    <x v="65"/>
    <x v="0"/>
    <n v="1052"/>
    <n v="180"/>
    <x v="195"/>
    <n v="5.34"/>
    <x v="193"/>
  </r>
  <r>
    <x v="65"/>
    <x v="1"/>
    <n v="572"/>
    <n v="270"/>
    <x v="196"/>
    <n v="3.65"/>
    <x v="194"/>
  </r>
  <r>
    <x v="65"/>
    <x v="2"/>
    <n v="503"/>
    <n v="253"/>
    <x v="197"/>
    <n v="4.18"/>
    <x v="195"/>
  </r>
  <r>
    <x v="66"/>
    <x v="0"/>
    <n v="1017"/>
    <n v="197"/>
    <x v="198"/>
    <n v="3.91"/>
    <x v="196"/>
  </r>
  <r>
    <x v="66"/>
    <x v="1"/>
    <n v="860"/>
    <n v="244"/>
    <x v="199"/>
    <n v="5.12"/>
    <x v="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7295B-3182-4B42-8F86-D7629DE7980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3" firstHeaderRow="0" firstDataRow="1" firstDataCol="1"/>
  <pivotFields count="10"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dataField="1" showAll="0">
      <items count="201">
        <item x="34"/>
        <item x="163"/>
        <item x="159"/>
        <item x="30"/>
        <item x="106"/>
        <item x="16"/>
        <item x="25"/>
        <item x="48"/>
        <item x="182"/>
        <item x="196"/>
        <item x="60"/>
        <item x="183"/>
        <item x="9"/>
        <item x="198"/>
        <item x="170"/>
        <item x="109"/>
        <item x="3"/>
        <item x="6"/>
        <item x="169"/>
        <item x="82"/>
        <item x="130"/>
        <item x="79"/>
        <item x="188"/>
        <item x="73"/>
        <item x="31"/>
        <item x="158"/>
        <item x="117"/>
        <item x="187"/>
        <item x="87"/>
        <item x="157"/>
        <item x="181"/>
        <item x="150"/>
        <item x="83"/>
        <item x="180"/>
        <item x="68"/>
        <item x="92"/>
        <item x="127"/>
        <item x="0"/>
        <item x="11"/>
        <item x="177"/>
        <item x="118"/>
        <item x="10"/>
        <item x="174"/>
        <item x="28"/>
        <item x="185"/>
        <item x="129"/>
        <item x="93"/>
        <item x="86"/>
        <item x="61"/>
        <item x="192"/>
        <item x="194"/>
        <item x="65"/>
        <item x="62"/>
        <item x="56"/>
        <item x="191"/>
        <item x="167"/>
        <item x="94"/>
        <item x="189"/>
        <item x="76"/>
        <item x="35"/>
        <item x="103"/>
        <item x="115"/>
        <item x="148"/>
        <item x="18"/>
        <item x="152"/>
        <item x="85"/>
        <item x="78"/>
        <item x="84"/>
        <item x="110"/>
        <item x="98"/>
        <item x="88"/>
        <item x="111"/>
        <item x="47"/>
        <item x="12"/>
        <item x="52"/>
        <item x="164"/>
        <item x="126"/>
        <item x="57"/>
        <item x="178"/>
        <item x="55"/>
        <item x="17"/>
        <item x="36"/>
        <item x="104"/>
        <item x="121"/>
        <item x="77"/>
        <item x="112"/>
        <item x="27"/>
        <item x="131"/>
        <item x="70"/>
        <item x="21"/>
        <item x="20"/>
        <item x="136"/>
        <item x="168"/>
        <item x="13"/>
        <item x="161"/>
        <item x="71"/>
        <item x="1"/>
        <item x="146"/>
        <item x="37"/>
        <item x="90"/>
        <item x="7"/>
        <item x="72"/>
        <item x="171"/>
        <item x="45"/>
        <item x="8"/>
        <item x="149"/>
        <item x="173"/>
        <item x="134"/>
        <item x="166"/>
        <item x="137"/>
        <item x="95"/>
        <item x="141"/>
        <item x="125"/>
        <item x="19"/>
        <item x="145"/>
        <item x="22"/>
        <item x="184"/>
        <item x="43"/>
        <item x="38"/>
        <item x="100"/>
        <item x="153"/>
        <item x="195"/>
        <item x="140"/>
        <item x="119"/>
        <item x="32"/>
        <item x="143"/>
        <item x="165"/>
        <item x="175"/>
        <item x="142"/>
        <item x="162"/>
        <item x="156"/>
        <item x="58"/>
        <item x="64"/>
        <item x="120"/>
        <item x="123"/>
        <item x="193"/>
        <item x="108"/>
        <item x="14"/>
        <item x="69"/>
        <item x="63"/>
        <item x="44"/>
        <item x="197"/>
        <item x="105"/>
        <item x="154"/>
        <item x="29"/>
        <item x="54"/>
        <item x="138"/>
        <item x="59"/>
        <item x="66"/>
        <item x="89"/>
        <item x="151"/>
        <item x="99"/>
        <item x="4"/>
        <item x="74"/>
        <item x="101"/>
        <item x="39"/>
        <item x="113"/>
        <item x="96"/>
        <item x="139"/>
        <item x="133"/>
        <item x="15"/>
        <item x="186"/>
        <item x="122"/>
        <item x="132"/>
        <item x="155"/>
        <item x="97"/>
        <item x="50"/>
        <item x="81"/>
        <item x="135"/>
        <item x="124"/>
        <item x="114"/>
        <item x="199"/>
        <item x="67"/>
        <item x="179"/>
        <item x="80"/>
        <item x="26"/>
        <item x="75"/>
        <item x="33"/>
        <item x="144"/>
        <item x="190"/>
        <item x="41"/>
        <item x="53"/>
        <item x="40"/>
        <item x="107"/>
        <item x="176"/>
        <item x="49"/>
        <item x="160"/>
        <item x="147"/>
        <item x="42"/>
        <item x="116"/>
        <item x="102"/>
        <item x="2"/>
        <item x="46"/>
        <item x="91"/>
        <item x="51"/>
        <item x="24"/>
        <item x="23"/>
        <item x="172"/>
        <item x="5"/>
        <item x="128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"/>
    <field x="9"/>
    <field x="7"/>
    <field x="0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Followers" fld="4" baseField="0" baseItem="0"/>
    <dataField name="Sum of Ad_Spen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32D5E-C984-4F2C-8CF4-49DBC12BA36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7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dataField="1" showAll="0">
      <items count="5">
        <item x="3"/>
        <item x="0"/>
        <item x="2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</pivotFields>
  <rowFields count="2">
    <field x="5"/>
    <field x="0"/>
  </rowFields>
  <rowItems count="9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 t="grand">
      <x/>
    </i>
  </rowItems>
  <colItems count="1">
    <i/>
  </colItems>
  <dataFields count="1">
    <dataField name="Sum of Total_Budget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24AA6-AF71-4934-81E9-080D9546DE3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D8" firstHeaderRow="0" firstDataRow="1" firstDataCol="1"/>
  <pivotFields count="10">
    <pivotField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multipleItemSelectionAllowed="1" showAll="0">
      <items count="201">
        <item x="34"/>
        <item x="163"/>
        <item x="159"/>
        <item x="30"/>
        <item x="106"/>
        <item x="16"/>
        <item x="25"/>
        <item x="48"/>
        <item x="182"/>
        <item x="196"/>
        <item x="60"/>
        <item x="183"/>
        <item x="9"/>
        <item x="198"/>
        <item x="170"/>
        <item x="109"/>
        <item x="3"/>
        <item x="6"/>
        <item x="169"/>
        <item x="82"/>
        <item x="130"/>
        <item x="79"/>
        <item x="188"/>
        <item x="73"/>
        <item x="31"/>
        <item x="158"/>
        <item x="117"/>
        <item x="187"/>
        <item x="87"/>
        <item x="157"/>
        <item x="181"/>
        <item x="150"/>
        <item x="83"/>
        <item x="180"/>
        <item x="68"/>
        <item x="92"/>
        <item x="127"/>
        <item x="0"/>
        <item x="11"/>
        <item x="177"/>
        <item x="118"/>
        <item x="10"/>
        <item x="174"/>
        <item x="28"/>
        <item x="185"/>
        <item x="129"/>
        <item x="93"/>
        <item x="86"/>
        <item x="61"/>
        <item x="192"/>
        <item x="194"/>
        <item x="65"/>
        <item x="62"/>
        <item x="56"/>
        <item x="191"/>
        <item x="167"/>
        <item x="94"/>
        <item x="189"/>
        <item x="76"/>
        <item x="35"/>
        <item x="103"/>
        <item x="115"/>
        <item x="148"/>
        <item x="18"/>
        <item x="152"/>
        <item x="85"/>
        <item x="78"/>
        <item x="84"/>
        <item x="110"/>
        <item x="98"/>
        <item x="88"/>
        <item x="111"/>
        <item x="47"/>
        <item x="12"/>
        <item x="52"/>
        <item x="164"/>
        <item x="126"/>
        <item x="57"/>
        <item x="178"/>
        <item x="55"/>
        <item x="17"/>
        <item x="36"/>
        <item x="104"/>
        <item x="121"/>
        <item x="77"/>
        <item x="112"/>
        <item x="27"/>
        <item x="131"/>
        <item x="70"/>
        <item x="21"/>
        <item x="20"/>
        <item x="136"/>
        <item x="168"/>
        <item x="13"/>
        <item x="161"/>
        <item x="71"/>
        <item x="1"/>
        <item x="146"/>
        <item x="37"/>
        <item x="90"/>
        <item x="7"/>
        <item x="72"/>
        <item x="171"/>
        <item x="45"/>
        <item x="8"/>
        <item x="149"/>
        <item x="173"/>
        <item x="134"/>
        <item x="166"/>
        <item x="137"/>
        <item x="95"/>
        <item x="141"/>
        <item x="125"/>
        <item x="19"/>
        <item x="145"/>
        <item x="22"/>
        <item x="184"/>
        <item x="43"/>
        <item x="38"/>
        <item x="100"/>
        <item x="153"/>
        <item x="195"/>
        <item x="140"/>
        <item x="119"/>
        <item x="32"/>
        <item x="143"/>
        <item x="165"/>
        <item x="175"/>
        <item x="142"/>
        <item x="162"/>
        <item x="156"/>
        <item x="58"/>
        <item x="64"/>
        <item x="120"/>
        <item x="123"/>
        <item x="193"/>
        <item x="108"/>
        <item x="14"/>
        <item x="69"/>
        <item x="63"/>
        <item x="44"/>
        <item x="197"/>
        <item x="105"/>
        <item x="154"/>
        <item x="29"/>
        <item x="54"/>
        <item x="138"/>
        <item x="59"/>
        <item x="66"/>
        <item x="89"/>
        <item x="151"/>
        <item x="99"/>
        <item x="4"/>
        <item x="74"/>
        <item x="101"/>
        <item x="39"/>
        <item x="113"/>
        <item x="96"/>
        <item x="139"/>
        <item x="133"/>
        <item x="15"/>
        <item x="186"/>
        <item x="122"/>
        <item x="132"/>
        <item x="155"/>
        <item x="97"/>
        <item x="50"/>
        <item x="81"/>
        <item x="135"/>
        <item x="124"/>
        <item x="114"/>
        <item x="199"/>
        <item x="67"/>
        <item x="179"/>
        <item x="80"/>
        <item x="26"/>
        <item x="75"/>
        <item x="33"/>
        <item x="144"/>
        <item x="190"/>
        <item x="41"/>
        <item x="53"/>
        <item x="40"/>
        <item x="107"/>
        <item x="176"/>
        <item x="49"/>
        <item x="160"/>
        <item x="147"/>
        <item x="42"/>
        <item x="116"/>
        <item x="102"/>
        <item x="2"/>
        <item x="46"/>
        <item x="91"/>
        <item x="51"/>
        <item x="24"/>
        <item x="23"/>
        <item x="172"/>
        <item x="5"/>
        <item x="128"/>
        <item t="default"/>
      </items>
    </pivotField>
    <pivotField dataField="1" showAll="0"/>
    <pivotField dataField="1" multipleItemSelectionAllowed="1" showAll="0">
      <items count="199">
        <item x="192"/>
        <item x="103"/>
        <item x="181"/>
        <item x="144"/>
        <item x="184"/>
        <item x="30"/>
        <item x="29"/>
        <item x="100"/>
        <item x="72"/>
        <item x="88"/>
        <item x="98"/>
        <item x="33"/>
        <item x="109"/>
        <item x="113"/>
        <item x="77"/>
        <item x="118"/>
        <item x="105"/>
        <item x="97"/>
        <item x="123"/>
        <item x="172"/>
        <item x="79"/>
        <item x="21"/>
        <item x="2"/>
        <item x="152"/>
        <item x="196"/>
        <item x="128"/>
        <item x="162"/>
        <item x="32"/>
        <item x="125"/>
        <item x="76"/>
        <item x="74"/>
        <item x="70"/>
        <item x="42"/>
        <item x="93"/>
        <item x="58"/>
        <item x="45"/>
        <item x="102"/>
        <item x="24"/>
        <item x="132"/>
        <item x="49"/>
        <item x="31"/>
        <item x="138"/>
        <item x="126"/>
        <item x="20"/>
        <item x="90"/>
        <item x="163"/>
        <item x="180"/>
        <item x="68"/>
        <item x="56"/>
        <item x="142"/>
        <item x="101"/>
        <item x="108"/>
        <item x="51"/>
        <item x="197"/>
        <item x="26"/>
        <item x="175"/>
        <item x="191"/>
        <item x="15"/>
        <item x="157"/>
        <item x="141"/>
        <item x="120"/>
        <item x="3"/>
        <item x="94"/>
        <item x="155"/>
        <item x="52"/>
        <item x="171"/>
        <item x="54"/>
        <item x="14"/>
        <item x="176"/>
        <item x="18"/>
        <item x="6"/>
        <item x="10"/>
        <item x="158"/>
        <item x="170"/>
        <item x="148"/>
        <item x="85"/>
        <item x="160"/>
        <item x="173"/>
        <item x="159"/>
        <item x="38"/>
        <item x="194"/>
        <item x="89"/>
        <item x="95"/>
        <item x="193"/>
        <item x="25"/>
        <item x="130"/>
        <item x="146"/>
        <item x="115"/>
        <item x="150"/>
        <item x="59"/>
        <item x="61"/>
        <item x="39"/>
        <item x="92"/>
        <item x="16"/>
        <item x="186"/>
        <item x="7"/>
        <item x="168"/>
        <item x="80"/>
        <item x="161"/>
        <item x="66"/>
        <item x="96"/>
        <item x="111"/>
        <item x="82"/>
        <item x="156"/>
        <item x="189"/>
        <item x="22"/>
        <item x="27"/>
        <item x="145"/>
        <item x="153"/>
        <item x="169"/>
        <item x="17"/>
        <item x="174"/>
        <item x="40"/>
        <item x="44"/>
        <item x="62"/>
        <item x="188"/>
        <item x="185"/>
        <item x="84"/>
        <item x="71"/>
        <item x="55"/>
        <item x="43"/>
        <item x="35"/>
        <item x="183"/>
        <item x="131"/>
        <item x="57"/>
        <item x="116"/>
        <item x="83"/>
        <item x="149"/>
        <item x="129"/>
        <item x="12"/>
        <item x="195"/>
        <item x="91"/>
        <item x="164"/>
        <item x="187"/>
        <item x="46"/>
        <item x="75"/>
        <item x="124"/>
        <item x="110"/>
        <item x="154"/>
        <item x="86"/>
        <item x="13"/>
        <item x="47"/>
        <item x="60"/>
        <item x="178"/>
        <item x="133"/>
        <item x="121"/>
        <item x="5"/>
        <item x="190"/>
        <item x="134"/>
        <item x="112"/>
        <item x="104"/>
        <item x="119"/>
        <item x="11"/>
        <item x="9"/>
        <item x="1"/>
        <item x="0"/>
        <item x="78"/>
        <item x="87"/>
        <item x="136"/>
        <item x="28"/>
        <item x="50"/>
        <item x="106"/>
        <item x="53"/>
        <item x="41"/>
        <item x="23"/>
        <item x="140"/>
        <item x="114"/>
        <item x="65"/>
        <item x="69"/>
        <item x="8"/>
        <item x="182"/>
        <item x="63"/>
        <item x="117"/>
        <item x="139"/>
        <item x="99"/>
        <item x="73"/>
        <item x="107"/>
        <item x="64"/>
        <item x="122"/>
        <item x="81"/>
        <item x="19"/>
        <item x="165"/>
        <item x="147"/>
        <item x="67"/>
        <item x="4"/>
        <item x="143"/>
        <item x="127"/>
        <item x="36"/>
        <item x="37"/>
        <item x="166"/>
        <item x="48"/>
        <item x="179"/>
        <item x="137"/>
        <item x="167"/>
        <item x="135"/>
        <item x="151"/>
        <item x="177"/>
        <item x="34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Followers" fld="4" baseField="0" baseItem="0"/>
    <dataField name="Sum of Engagement_Rate" fld="5" baseField="0" baseItem="0"/>
    <dataField name="Sum of Ad_Spend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1f6282f603504ae0ab7e39cd054636c6?sid=64cb7db7-e0a7-440b-b7ca-caea6a8bf8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E7" sqref="E7"/>
    </sheetView>
  </sheetViews>
  <sheetFormatPr defaultColWidth="14.42578125" defaultRowHeight="15" customHeight="1"/>
  <cols>
    <col min="1" max="2" width="8.7109375" customWidth="1"/>
    <col min="3" max="3" width="18.85546875" customWidth="1"/>
    <col min="4" max="12" width="8.7109375" customWidth="1"/>
    <col min="13" max="13" width="19" customWidth="1"/>
    <col min="14" max="26" width="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7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>
      <c r="A3" s="1" t="s">
        <v>19</v>
      </c>
      <c r="B3" s="1" t="s">
        <v>14</v>
      </c>
      <c r="C3" s="7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>
      <c r="A4" s="1" t="s">
        <v>23</v>
      </c>
      <c r="B4" s="1" t="s">
        <v>24</v>
      </c>
      <c r="C4" s="7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>
      <c r="A5" s="1" t="s">
        <v>28</v>
      </c>
      <c r="B5" s="1" t="s">
        <v>14</v>
      </c>
      <c r="C5" s="7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>
      <c r="A6" s="1" t="s">
        <v>30</v>
      </c>
      <c r="B6" s="1" t="s">
        <v>31</v>
      </c>
      <c r="C6" s="7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>
      <c r="A7" s="1" t="s">
        <v>34</v>
      </c>
      <c r="B7" s="1" t="s">
        <v>31</v>
      </c>
      <c r="C7" s="7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>
      <c r="A8" s="1" t="s">
        <v>36</v>
      </c>
      <c r="B8" s="1" t="s">
        <v>24</v>
      </c>
      <c r="C8" s="7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>
      <c r="A9" s="1" t="s">
        <v>38</v>
      </c>
      <c r="B9" s="1" t="s">
        <v>24</v>
      </c>
      <c r="C9" s="7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>
      <c r="A10" s="1" t="s">
        <v>40</v>
      </c>
      <c r="B10" s="1" t="s">
        <v>24</v>
      </c>
      <c r="C10" s="7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>
      <c r="A11" s="1" t="s">
        <v>43</v>
      </c>
      <c r="B11" s="1" t="s">
        <v>24</v>
      </c>
      <c r="C11" s="7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>
      <c r="A12" s="1" t="s">
        <v>44</v>
      </c>
      <c r="B12" s="1" t="s">
        <v>24</v>
      </c>
      <c r="C12" s="7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>
      <c r="A13" s="1" t="s">
        <v>46</v>
      </c>
      <c r="B13" s="1" t="s">
        <v>14</v>
      </c>
      <c r="C13" s="7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>
      <c r="A14" s="1" t="s">
        <v>47</v>
      </c>
      <c r="B14" s="1" t="s">
        <v>24</v>
      </c>
      <c r="C14" s="7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>
      <c r="A15" s="1" t="s">
        <v>48</v>
      </c>
      <c r="B15" s="1" t="s">
        <v>24</v>
      </c>
      <c r="C15" s="7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>
      <c r="A16" s="1" t="s">
        <v>50</v>
      </c>
      <c r="B16" s="1" t="s">
        <v>24</v>
      </c>
      <c r="C16" s="7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>
      <c r="A17" s="1" t="s">
        <v>52</v>
      </c>
      <c r="B17" s="1" t="s">
        <v>24</v>
      </c>
      <c r="C17" s="7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>
      <c r="A18" s="1" t="s">
        <v>53</v>
      </c>
      <c r="B18" s="1" t="s">
        <v>24</v>
      </c>
      <c r="C18" s="7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>
      <c r="A19" s="1" t="s">
        <v>54</v>
      </c>
      <c r="B19" s="1" t="s">
        <v>14</v>
      </c>
      <c r="C19" s="7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>
      <c r="A20" s="1" t="s">
        <v>56</v>
      </c>
      <c r="B20" s="1" t="s">
        <v>31</v>
      </c>
      <c r="C20" s="7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7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7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7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7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7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7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7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7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7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7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7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7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7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7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7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7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7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7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7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7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7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7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7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7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7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7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7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7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7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7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7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7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7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7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7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7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7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7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7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7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7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7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7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7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7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7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7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7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7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7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7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7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7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7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7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7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7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7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7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7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7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7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7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7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7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7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7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7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7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7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7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7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7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7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7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7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7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7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7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7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7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7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7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7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7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7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7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7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7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7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7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7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7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7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7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7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7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7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7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7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7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7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7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7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7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7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7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7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7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7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7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7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7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7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7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7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7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7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7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7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7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7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7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7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7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7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7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7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7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7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7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7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7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7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7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7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7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7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7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7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7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7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7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7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7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7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7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7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7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7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7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7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7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7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7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7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7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7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7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7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7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7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7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7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7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7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7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7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7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7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7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7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7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7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7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7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7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7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7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7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7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7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7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7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7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7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7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7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7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7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7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7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7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7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7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7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7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7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7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7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7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7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7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7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7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7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7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7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7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7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7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7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7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7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7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7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7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7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7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7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7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7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7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7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7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7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7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7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7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7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7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7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7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7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7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7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7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7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7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7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7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7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7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7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7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7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7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7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7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7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7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7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7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7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7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7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7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7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7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7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7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7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7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7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7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7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7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7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7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7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7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7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7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7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7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7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7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7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7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7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7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51EE-F669-4BFF-8954-49EBB6853A69}">
  <dimension ref="A3:C13"/>
  <sheetViews>
    <sheetView workbookViewId="0">
      <selection activeCell="K13" sqref="K13"/>
    </sheetView>
  </sheetViews>
  <sheetFormatPr defaultRowHeight="15"/>
  <cols>
    <col min="1" max="1" width="13.140625" bestFit="1" customWidth="1"/>
    <col min="2" max="2" width="22.140625" bestFit="1" customWidth="1"/>
    <col min="3" max="5" width="16.7109375" bestFit="1" customWidth="1"/>
    <col min="6" max="6" width="24" bestFit="1" customWidth="1"/>
    <col min="7" max="9" width="22.140625" bestFit="1" customWidth="1"/>
    <col min="10" max="10" width="26.85546875" bestFit="1" customWidth="1"/>
    <col min="11" max="11" width="22" bestFit="1" customWidth="1"/>
    <col min="12" max="12" width="27.140625" bestFit="1" customWidth="1"/>
  </cols>
  <sheetData>
    <row r="3" spans="1:3">
      <c r="A3" s="8" t="s">
        <v>373</v>
      </c>
      <c r="B3" t="s">
        <v>378</v>
      </c>
      <c r="C3" t="s">
        <v>377</v>
      </c>
    </row>
    <row r="4" spans="1:3">
      <c r="A4" s="9" t="s">
        <v>31</v>
      </c>
      <c r="B4">
        <v>16284387</v>
      </c>
      <c r="C4">
        <v>1065782</v>
      </c>
    </row>
    <row r="5" spans="1:3">
      <c r="A5" s="10" t="s">
        <v>379</v>
      </c>
      <c r="B5">
        <v>7868401</v>
      </c>
      <c r="C5">
        <v>501369</v>
      </c>
    </row>
    <row r="6" spans="1:3">
      <c r="A6" s="10" t="s">
        <v>380</v>
      </c>
      <c r="B6">
        <v>8415986</v>
      </c>
      <c r="C6">
        <v>564413</v>
      </c>
    </row>
    <row r="7" spans="1:3">
      <c r="A7" s="9" t="s">
        <v>24</v>
      </c>
      <c r="B7">
        <v>14575123</v>
      </c>
      <c r="C7">
        <v>1114204</v>
      </c>
    </row>
    <row r="8" spans="1:3">
      <c r="A8" s="10" t="s">
        <v>379</v>
      </c>
      <c r="B8">
        <v>6607099</v>
      </c>
      <c r="C8">
        <v>529768</v>
      </c>
    </row>
    <row r="9" spans="1:3">
      <c r="A9" s="10" t="s">
        <v>380</v>
      </c>
      <c r="B9">
        <v>7968024</v>
      </c>
      <c r="C9">
        <v>584436</v>
      </c>
    </row>
    <row r="10" spans="1:3">
      <c r="A10" s="9" t="s">
        <v>14</v>
      </c>
      <c r="B10">
        <v>15642297</v>
      </c>
      <c r="C10">
        <v>1035942</v>
      </c>
    </row>
    <row r="11" spans="1:3">
      <c r="A11" s="10" t="s">
        <v>379</v>
      </c>
      <c r="B11">
        <v>7075219</v>
      </c>
      <c r="C11">
        <v>499984</v>
      </c>
    </row>
    <row r="12" spans="1:3">
      <c r="A12" s="10" t="s">
        <v>380</v>
      </c>
      <c r="B12">
        <v>8567078</v>
      </c>
      <c r="C12">
        <v>535958</v>
      </c>
    </row>
    <row r="13" spans="1:3">
      <c r="A13" s="9" t="s">
        <v>374</v>
      </c>
      <c r="B13">
        <v>46501807</v>
      </c>
      <c r="C13">
        <v>3215928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2684-C943-4A58-9FA2-2D4B6961E54A}">
  <dimension ref="A3:B12"/>
  <sheetViews>
    <sheetView workbookViewId="0">
      <selection activeCell="A3" sqref="A3"/>
    </sheetView>
  </sheetViews>
  <sheetFormatPr defaultRowHeight="15"/>
  <cols>
    <col min="1" max="1" width="20.85546875" bestFit="1" customWidth="1"/>
    <col min="2" max="2" width="19.5703125" bestFit="1" customWidth="1"/>
  </cols>
  <sheetData>
    <row r="3" spans="1:2">
      <c r="A3" s="8" t="s">
        <v>373</v>
      </c>
      <c r="B3" t="s">
        <v>375</v>
      </c>
    </row>
    <row r="4" spans="1:2">
      <c r="A4" s="9" t="s">
        <v>371</v>
      </c>
      <c r="B4">
        <v>160000</v>
      </c>
    </row>
    <row r="5" spans="1:2">
      <c r="A5" s="10" t="s">
        <v>22</v>
      </c>
      <c r="B5">
        <v>160000</v>
      </c>
    </row>
    <row r="6" spans="1:2">
      <c r="A6" s="9" t="s">
        <v>366</v>
      </c>
      <c r="B6">
        <v>200000</v>
      </c>
    </row>
    <row r="7" spans="1:2">
      <c r="A7" s="10" t="s">
        <v>18</v>
      </c>
      <c r="B7">
        <v>200000</v>
      </c>
    </row>
    <row r="8" spans="1:2">
      <c r="A8" s="9" t="s">
        <v>356</v>
      </c>
      <c r="B8">
        <v>175000</v>
      </c>
    </row>
    <row r="9" spans="1:2">
      <c r="A9" s="10" t="s">
        <v>59</v>
      </c>
      <c r="B9">
        <v>175000</v>
      </c>
    </row>
    <row r="10" spans="1:2">
      <c r="A10" s="9" t="s">
        <v>361</v>
      </c>
      <c r="B10">
        <v>225000</v>
      </c>
    </row>
    <row r="11" spans="1:2">
      <c r="A11" s="10" t="s">
        <v>55</v>
      </c>
      <c r="B11">
        <v>225000</v>
      </c>
    </row>
    <row r="12" spans="1:2">
      <c r="A12" s="9" t="s">
        <v>374</v>
      </c>
      <c r="B12">
        <v>760000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3298-1D8E-445D-A106-0459D1160D60}">
  <dimension ref="A4:D8"/>
  <sheetViews>
    <sheetView workbookViewId="0"/>
  </sheetViews>
  <sheetFormatPr defaultRowHeight="15"/>
  <cols>
    <col min="1" max="1" width="13.140625" bestFit="1" customWidth="1"/>
    <col min="2" max="2" width="22.140625" bestFit="1" customWidth="1"/>
    <col min="3" max="3" width="24" bestFit="1" customWidth="1"/>
    <col min="4" max="4" width="16.7109375" bestFit="1" customWidth="1"/>
  </cols>
  <sheetData>
    <row r="4" spans="1:4">
      <c r="A4" s="8" t="s">
        <v>373</v>
      </c>
      <c r="B4" t="s">
        <v>378</v>
      </c>
      <c r="C4" t="s">
        <v>376</v>
      </c>
      <c r="D4" t="s">
        <v>377</v>
      </c>
    </row>
    <row r="5" spans="1:4">
      <c r="A5" s="9" t="s">
        <v>14</v>
      </c>
      <c r="B5">
        <v>15642297</v>
      </c>
      <c r="C5">
        <v>432.70000000000016</v>
      </c>
      <c r="D5">
        <v>1035942</v>
      </c>
    </row>
    <row r="6" spans="1:4">
      <c r="A6" s="9" t="s">
        <v>24</v>
      </c>
      <c r="B6">
        <v>14575123</v>
      </c>
      <c r="C6">
        <v>461.34</v>
      </c>
      <c r="D6">
        <v>1114204</v>
      </c>
    </row>
    <row r="7" spans="1:4">
      <c r="A7" s="9" t="s">
        <v>31</v>
      </c>
      <c r="B7">
        <v>16284387</v>
      </c>
      <c r="C7">
        <v>443.44999999999993</v>
      </c>
      <c r="D7">
        <v>1065782</v>
      </c>
    </row>
    <row r="8" spans="1:4">
      <c r="A8" s="9" t="s">
        <v>374</v>
      </c>
      <c r="B8">
        <v>46501807</v>
      </c>
      <c r="C8">
        <v>1337.4900000000002</v>
      </c>
      <c r="D8">
        <v>3215928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J7" sqref="J7"/>
    </sheetView>
  </sheetViews>
  <sheetFormatPr defaultColWidth="14.42578125" defaultRowHeight="15" customHeight="1"/>
  <cols>
    <col min="1" max="2" width="23.85546875" customWidth="1"/>
    <col min="3" max="4" width="8.7109375" customWidth="1"/>
    <col min="5" max="5" width="10.42578125" customWidth="1"/>
    <col min="6" max="6" width="10.7109375" customWidth="1"/>
    <col min="7" max="26" width="8.7109375" customWidth="1"/>
  </cols>
  <sheetData>
    <row r="1" spans="1:10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10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10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10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10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10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10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  <c r="J7" s="11" t="s">
        <v>381</v>
      </c>
    </row>
    <row r="8" spans="1:10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  <c r="J8">
        <f>CORREL(G2:G201,E2:E201)</f>
        <v>4.3510325256820408E-2</v>
      </c>
    </row>
    <row r="9" spans="1:10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10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10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10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10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10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10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10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7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952C-7DFA-48F4-B875-489A16FC76E0}">
  <dimension ref="B2:C3"/>
  <sheetViews>
    <sheetView tabSelected="1" workbookViewId="0">
      <selection activeCell="C4" sqref="C4"/>
    </sheetView>
  </sheetViews>
  <sheetFormatPr defaultRowHeight="15"/>
  <sheetData>
    <row r="2" spans="2:3">
      <c r="B2" s="12" t="s">
        <v>382</v>
      </c>
    </row>
    <row r="3" spans="2:3">
      <c r="C3" s="13" t="s">
        <v>383</v>
      </c>
    </row>
  </sheetData>
  <hyperlinks>
    <hyperlink ref="C3" r:id="rId1" xr:uid="{C9F7E0FC-2926-48DD-BD61-D0830B6B0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task6(1)</vt:lpstr>
      <vt:lpstr>task6(2)</vt:lpstr>
      <vt:lpstr>task6(3)</vt:lpstr>
      <vt:lpstr>Engagement Summary</vt:lpstr>
      <vt:lpstr>Campaign Metadata</vt:lpstr>
      <vt:lpstr>video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Gowda</cp:lastModifiedBy>
  <dcterms:created xsi:type="dcterms:W3CDTF">2025-09-14T05:05:45Z</dcterms:created>
  <dcterms:modified xsi:type="dcterms:W3CDTF">2025-09-19T08:14:28Z</dcterms:modified>
</cp:coreProperties>
</file>