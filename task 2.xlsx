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kas\OneDrive\Documents\intershala projects\course 2 spotify project\"/>
    </mc:Choice>
  </mc:AlternateContent>
  <xr:revisionPtr revIDLastSave="0" documentId="13_ncr:1_{DAD64A89-612B-4A44-BD57-CEDC6D095758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ask2(3)1" sheetId="5" r:id="rId1"/>
    <sheet name="task2(3)2" sheetId="6" r:id="rId2"/>
    <sheet name="Posts" sheetId="1" r:id="rId3"/>
    <sheet name="Engagement Summary" sheetId="2" r:id="rId4"/>
    <sheet name="Campaign Metadata" sheetId="3" r:id="rId5"/>
    <sheet name="video link" sheetId="8" r:id="rId6"/>
    <sheet name="GPT cache" sheetId="4" state="veryHidden" r:id="rId7"/>
  </sheet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U19" i="1" l="1"/>
  <c r="T11" i="1"/>
  <c r="U7" i="1"/>
</calcChain>
</file>

<file path=xl/sharedStrings.xml><?xml version="1.0" encoding="utf-8"?>
<sst xmlns="http://schemas.openxmlformats.org/spreadsheetml/2006/main" count="2082" uniqueCount="385">
  <si>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</si>
  <si>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</si>
  <si>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</si>
  <si>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</si>
  <si>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</si>
  <si>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</si>
  <si>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</si>
  <si>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</si>
  <si>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</si>
  <si>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</si>
  <si>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</si>
  <si>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</si>
  <si>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</si>
  <si>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</si>
  <si>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</si>
  <si>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</si>
  <si>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</si>
  <si>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</si>
  <si>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</si>
  <si>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</si>
  <si>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</si>
  <si>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</si>
  <si>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</si>
  <si>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</si>
  <si>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</si>
  <si>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</si>
  <si>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</si>
  <si>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</si>
  <si>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</si>
  <si>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</si>
  <si>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</si>
  <si>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</si>
  <si>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</si>
  <si>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</si>
  <si>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</si>
  <si>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</si>
  <si>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</si>
  <si>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</si>
  <si>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</si>
  <si>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</si>
  <si>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</si>
  <si>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</si>
  <si>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</si>
  <si>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</si>
  <si>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</si>
  <si>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</si>
  <si>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</si>
  <si>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</si>
  <si>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</si>
  <si>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</si>
  <si>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</si>
  <si>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</si>
  <si>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</si>
  <si>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</si>
  <si>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</si>
  <si>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</si>
  <si>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</si>
  <si>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</si>
  <si>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</si>
  <si>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</si>
  <si>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</si>
  <si>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</si>
  <si>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</si>
  <si>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</si>
  <si>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</si>
  <si>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</si>
  <si>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</si>
  <si>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</si>
  <si>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</si>
  <si>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</si>
  <si>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</si>
  <si>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</si>
  <si>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</si>
  <si>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</si>
  <si>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</si>
  <si>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</si>
  <si>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</si>
  <si>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</si>
  <si>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</si>
  <si>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</si>
  <si>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</si>
  <si>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</si>
  <si>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</si>
  <si>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</si>
  <si>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</si>
  <si>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</si>
  <si>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</si>
  <si>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</si>
  <si>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</si>
  <si>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</si>
  <si>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</si>
  <si>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</si>
  <si>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</si>
  <si>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</si>
  <si>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</si>
  <si>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</si>
  <si>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</si>
  <si>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</si>
  <si>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</si>
  <si>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</si>
  <si>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</si>
  <si>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</si>
  <si>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</si>
  <si>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</si>
  <si>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</si>
  <si>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</si>
  <si>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</si>
  <si>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</si>
  <si>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</si>
  <si>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</si>
  <si>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</si>
  <si>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</si>
  <si>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</si>
  <si>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</si>
  <si>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</si>
  <si>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</si>
  <si>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</si>
  <si>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</si>
  <si>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</si>
  <si>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</si>
  <si>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</si>
  <si>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</si>
  <si>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</si>
  <si>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</si>
  <si>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</si>
  <si>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</si>
  <si>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</si>
  <si>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</si>
  <si>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</si>
  <si>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</si>
  <si>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</si>
  <si>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</si>
  <si>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</si>
  <si>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</si>
  <si>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</si>
  <si>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</si>
  <si>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</si>
  <si>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</si>
  <si>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</si>
  <si>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</si>
  <si>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</si>
  <si>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</si>
  <si>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</si>
  <si>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</si>
  <si>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</si>
  <si>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</si>
  <si>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</si>
  <si>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</si>
  <si>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</si>
  <si>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</si>
  <si>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</si>
  <si>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</si>
  <si>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</si>
  <si>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</si>
  <si>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</si>
  <si>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</si>
  <si>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</si>
  <si>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</si>
  <si>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</si>
  <si>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</si>
  <si>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</si>
  <si>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</si>
  <si>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</si>
  <si>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</si>
  <si>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</si>
  <si>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</si>
  <si>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</si>
  <si>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</si>
  <si>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</si>
  <si>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</si>
  <si>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</si>
  <si>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</si>
  <si>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</si>
  <si>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</si>
  <si>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</si>
  <si>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</si>
  <si>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</si>
  <si>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</si>
  <si>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</si>
  <si>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</si>
  <si>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</si>
  <si>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</si>
  <si>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</si>
  <si>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</si>
  <si>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</si>
  <si>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</si>
  <si>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</si>
  <si>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</si>
  <si>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</si>
  <si>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</si>
  <si>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</si>
  <si>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</si>
  <si>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</si>
  <si>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</si>
  <si>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</si>
  <si>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</si>
  <si>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</si>
  <si>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</si>
  <si>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</si>
  <si>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</si>
  <si>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</si>
  <si>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</si>
  <si>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</si>
  <si>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</si>
  <si>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</si>
  <si>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</si>
  <si>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</si>
  <si>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</si>
  <si>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</si>
  <si>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</si>
  <si>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</si>
  <si>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</si>
  <si>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</si>
  <si>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</si>
  <si>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</si>
  <si>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</si>
  <si>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</si>
  <si>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</si>
  <si>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</si>
  <si>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</si>
  <si>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</si>
  <si>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</si>
  <si>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</si>
  <si>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</si>
  <si>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</si>
  <si>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</si>
  <si>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</si>
  <si>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</si>
  <si>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</si>
  <si>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</si>
  <si>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</si>
  <si>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</si>
  <si>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</si>
  <si>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</si>
  <si>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</si>
  <si>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</si>
  <si>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</si>
  <si>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</si>
  <si>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</si>
  <si>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</si>
  <si>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</si>
  <si>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</si>
  <si>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</si>
  <si>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</si>
  <si>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</si>
  <si>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</si>
  <si>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</si>
  <si>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</si>
  <si>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</si>
  <si>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</si>
  <si>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</si>
  <si>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</si>
  <si>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</si>
  <si>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</si>
  <si>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</si>
  <si>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</si>
  <si>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</si>
  <si>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</si>
  <si>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</si>
  <si>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</si>
  <si>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</si>
  <si>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</si>
  <si>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</si>
  <si>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</si>
  <si>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</si>
  <si>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</si>
  <si>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</si>
  <si>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</si>
  <si>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</si>
  <si>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</si>
  <si>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</si>
  <si>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</si>
  <si>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</si>
  <si>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</si>
  <si>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</si>
  <si>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</si>
  <si>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</si>
  <si>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</si>
  <si>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</si>
  <si>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</si>
  <si>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</si>
  <si>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</si>
  <si>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</si>
  <si>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</si>
  <si>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</si>
  <si>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</si>
  <si>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</si>
  <si>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</si>
  <si>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</si>
  <si>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</si>
  <si>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</si>
  <si>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</si>
  <si>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</si>
  <si>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</si>
  <si>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</si>
  <si>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</si>
  <si>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</si>
  <si>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</si>
  <si>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</si>
  <si>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</si>
  <si>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</si>
  <si>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</si>
  <si>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</si>
  <si>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</si>
  <si>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</si>
  <si>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</si>
  <si>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</si>
  <si>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</si>
  <si>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</si>
  <si>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</si>
  <si>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</si>
  <si>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</si>
  <si>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</si>
  <si>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</si>
  <si>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</si>
  <si>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</si>
  <si>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</si>
  <si>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</si>
  <si>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</si>
  <si>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</si>
  <si>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</si>
  <si>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</si>
  <si>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</si>
  <si>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</si>
  <si>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</si>
  <si>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</si>
  <si>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</si>
  <si>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</si>
  <si>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</si>
  <si>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</si>
  <si>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</si>
  <si>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</si>
  <si>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</si>
  <si>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</si>
  <si>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</si>
  <si>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</si>
  <si>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</si>
  <si>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</si>
  <si>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</si>
  <si>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</si>
  <si>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</si>
  <si>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</si>
  <si>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</si>
  <si>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</si>
  <si>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</si>
  <si>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</si>
  <si>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</si>
  <si>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</si>
  <si>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</si>
  <si>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</si>
  <si>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</si>
  <si>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</si>
  <si>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</si>
  <si>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</si>
  <si>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</si>
  <si>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</si>
  <si>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</si>
  <si>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</si>
  <si>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</si>
  <si>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</si>
  <si>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</si>
  <si>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</si>
  <si>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</si>
  <si>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</si>
  <si>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</si>
  <si>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</si>
  <si>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</si>
  <si>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</si>
  <si>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</si>
  <si>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</si>
  <si>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</si>
  <si>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</si>
  <si>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</si>
  <si>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Engagement Rate</t>
  </si>
  <si>
    <t>{"hash":"36419122d70d7ac7094af2899a94b36d1fc1805f9673de359bc09de294e8993b","version":1,"value":"[[\"=INDEX(A:A, MATCH(LARGE(B:B/A:A, 10), B:B/A:A, 0))\"]]"}</t>
  </si>
  <si>
    <t>{"hash":"4f98b2e6d33359ebbd81da278f04265f164213d9361233e06401b6e4c53b0f72","version":1,"value":"[[\"The given Excel formula is designed to find the item located in column A (A:A) that corresponds to the 10th largest value of the ratio of the values in column B to those in column A (B:B/A:A). Here's a breakdown of its components:\\n\\n1. **B:B/A:A**: This creates an array of ratios by dividing each value in column B by the corresponding value in column A.\\n\\n2. **LARGE(B:B/A:A, 10)**: This portion determines the 10th largest ratio from the array created in the previous step.\\n\\n3. **MATCH(..., B:B/A:A, 0)**: This finds the position (row number) of the 10th largest ratio within the array of ratios.\\n\\n4. **INDEX(A:A, ...)**: Finally, the INDEX function uses the position obtained to retrieve the corresponding value from column A.\\n\\nOverall, the formula identifies the 10th largest ratio of column B values to column A values and returns the associated value from column A.\"]]"}</t>
  </si>
  <si>
    <t>{"hash":"a9c3bd4169a79155629106f747c908f1c68cbb209b4c177159efda952fc1ba1f","version":1,"value":"[[\"Creating a pivot table in Excel does not involve using a standard formula. Instead, you follow a series of user interface actions. Here's how you can do it: \\n\\n1. Select your data range.\\n2. Go to `Insert` &gt; `PivotTable`.\\n3. Place `Content Type` and `Platform` in the Rows or Columns section.\\n4. Place `Likes`, `Shares`, and `Comments` in the Values section, ensuring they are set to sum.\\n\\nThere's no singular formula for creating a PivotTable directly through a cell input.\"]]"}</t>
  </si>
  <si>
    <t>Row Labels</t>
  </si>
  <si>
    <t>Grand Total</t>
  </si>
  <si>
    <t>Sum of Likes</t>
  </si>
  <si>
    <t>Sum of Shares</t>
  </si>
  <si>
    <t>Sum of Comments</t>
  </si>
  <si>
    <t>Sum of Clicks</t>
  </si>
  <si>
    <t>task 2 video link</t>
  </si>
  <si>
    <t>https://www.loom.com/share/ae0c0a575e3f49aa882dfd6f3969f8a1?sid=da400ea8-2afe-4fd0-822f-a2ae010bc7db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</si>
</sst>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3" borderId="0" xfId="0" applyFont="1" applyFill="1"/>
    <xf numFmtId="0" fontId="0" fillId="4" borderId="0" xfId="0" applyFill="1" applyAlignment="1">
      <alignment horizontal="left"/>
    </xf>
    <xf numFmtId="0" fontId="0" fillId="4" borderId="0" xfId="0" applyFill="1"/>
    <xf numFmtId="165" fontId="3" fillId="0" borderId="0" xfId="0" applyNumberFormat="1" applyFont="1" applyAlignment="1">
      <alignment horizontal="right"/>
    </xf>
    <xf numFmtId="0" fontId="1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2.xlsx]task2(3)1!PivotTable1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'task2(3)1'!$B$3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'task2(3)1'!$A$4:$A$13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'task2(3)1'!$B$4:$B$13</c:f>
              <c:numCache>
                <c:formatCode>General</c:formatCode>
                <c:ptCount val="6"/>
                <c:pt idx="0">
                  <c:v>89871</c:v>
                </c:pt>
                <c:pt idx="1">
                  <c:v>61815</c:v>
                </c:pt>
                <c:pt idx="2">
                  <c:v>272103</c:v>
                </c:pt>
                <c:pt idx="3">
                  <c:v>189658</c:v>
                </c:pt>
                <c:pt idx="4">
                  <c:v>178192</c:v>
                </c:pt>
                <c:pt idx="5">
                  <c:v>105536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6-4EBD-9D8E-156423FCD8D3}"/>
            </c:ext>
          </c:extLst>
        </c:ser>
        <c:ser>
          <c:idx val="1"/>
          <c:order val="1"/>
          <c:tx>
            <c:strRef>
              <c:f>'task2(3)1'!$C$3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'task2(3)1'!$A$4:$A$13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'task2(3)1'!$C$4:$C$13</c:f>
              <c:numCache>
                <c:formatCode>General</c:formatCode>
                <c:ptCount val="6"/>
                <c:pt idx="0">
                  <c:v>9086</c:v>
                </c:pt>
                <c:pt idx="1">
                  <c:v>7993</c:v>
                </c:pt>
                <c:pt idx="2">
                  <c:v>26494</c:v>
                </c:pt>
                <c:pt idx="3">
                  <c:v>21292</c:v>
                </c:pt>
                <c:pt idx="4">
                  <c:v>19004</c:v>
                </c:pt>
                <c:pt idx="5">
                  <c:v>9532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A6-4EBD-9D8E-156423FCD8D3}"/>
            </c:ext>
          </c:extLst>
        </c:ser>
        <c:ser>
          <c:idx val="2"/>
          <c:order val="2"/>
          <c:tx>
            <c:strRef>
              <c:f>'task2(3)1'!$D$3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'task2(3)1'!$A$4:$A$13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'task2(3)1'!$D$4:$D$13</c:f>
              <c:numCache>
                <c:formatCode>General</c:formatCode>
                <c:ptCount val="6"/>
                <c:pt idx="0">
                  <c:v>6826</c:v>
                </c:pt>
                <c:pt idx="1">
                  <c:v>5656</c:v>
                </c:pt>
                <c:pt idx="2">
                  <c:v>18442</c:v>
                </c:pt>
                <c:pt idx="3">
                  <c:v>15162</c:v>
                </c:pt>
                <c:pt idx="4">
                  <c:v>13135</c:v>
                </c:pt>
                <c:pt idx="5">
                  <c:v>7845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A6-4EBD-9D8E-156423FCD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344560"/>
        <c:axId val="401345040"/>
      </c:barChart>
      <c:catAx>
        <c:axId val="4013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45040"/>
        <c:crosses val="autoZero"/>
        <c:auto val="1"/>
        <c:lblAlgn val="ctr"/>
        <c:lblOffset val="100"/>
        <c:noMultiLvlLbl val="0"/>
      </c:catAx>
      <c:valAx>
        <c:axId val="40134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4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2.xlsx]task2(3)2!PivotTable2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'task2(3)2'!$B$3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'task2(3)2'!$A$4:$A$12</c:f>
              <c:strCache>
                <c:ptCount val="8"/>
                <c:pt idx="0">
                  <c:v>#DiscoverWeekly</c:v>
                </c:pt>
                <c:pt idx="1">
                  <c:v>#DiscoverWeekly,#MusicForEveryone</c:v>
                </c:pt>
                <c:pt idx="2">
                  <c:v>#DiscoverWeekly,#SoundtrackOfLife</c:v>
                </c:pt>
                <c:pt idx="3">
                  <c:v>#DiscoverWeekly,#SpotifyWrapped</c:v>
                </c:pt>
                <c:pt idx="4">
                  <c:v>#MusicForEveryone,#NowPlaying</c:v>
                </c:pt>
                <c:pt idx="5">
                  <c:v>#NowPlaying</c:v>
                </c:pt>
                <c:pt idx="6">
                  <c:v>#SoundtrackOfLife</c:v>
                </c:pt>
                <c:pt idx="7">
                  <c:v>#SoundtrackOfLife,#NowPlaying</c:v>
                </c:pt>
              </c:strCache>
            </c:strRef>
          </c:cat>
          <c:val>
            <c:numRef>
              <c:f>'task2(3)2'!$B$4:$B$12</c:f>
              <c:numCache>
                <c:formatCode>General</c:formatCode>
                <c:ptCount val="8"/>
                <c:pt idx="0">
                  <c:v>6366</c:v>
                </c:pt>
                <c:pt idx="1">
                  <c:v>6621</c:v>
                </c:pt>
                <c:pt idx="2">
                  <c:v>5557</c:v>
                </c:pt>
                <c:pt idx="3">
                  <c:v>7088</c:v>
                </c:pt>
                <c:pt idx="4">
                  <c:v>5672</c:v>
                </c:pt>
                <c:pt idx="5">
                  <c:v>10871</c:v>
                </c:pt>
                <c:pt idx="6">
                  <c:v>5263</c:v>
                </c:pt>
                <c:pt idx="7">
                  <c:v>10158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E-4DBC-98EE-B1ED34706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359920"/>
        <c:axId val="401355120"/>
      </c:barChart>
      <c:catAx>
        <c:axId val="4013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55120"/>
        <c:crosses val="autoZero"/>
        <c:auto val="1"/>
        <c:lblAlgn val="ctr"/>
        <c:lblOffset val="100"/>
        <c:noMultiLvlLbl val="0"/>
      </c:catAx>
      <c:valAx>
        <c:axId val="4013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35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23812</xdr:rowOff>
    </xdr:from>
    <xdr:to>
      <xdr:col>18</xdr:col>
      <xdr:colOff>228600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7DAD1-5B8E-68E5-554A-99676C20D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10</xdr:row>
      <xdr:rowOff>23812</xdr:rowOff>
    </xdr:from>
    <xdr:to>
      <xdr:col>18</xdr:col>
      <xdr:colOff>228600</xdr:colOff>
      <xdr:row>24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51C931-F99F-FAC6-C2B5-2EA5A6EEC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" refreshedDate="45892.004834143518" createdVersion="8" refreshedVersion="8" minRefreshableVersion="3" recordCount="300" xr:uid="{B96C6FB8-E876-4F0C-9B5C-2A3D031AF620}">
  <cacheSource type="worksheet">
    <worksheetSource ref="A1:M301" sheet="Posts"/>
  </cacheSource>
  <cacheFields count="13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0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8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x v="0"/>
    <s v="ChillVibes"/>
  </r>
  <r>
    <s v="SP002"/>
    <x v="0"/>
    <d v="2025-02-01T00:00:00"/>
    <x v="0"/>
    <s v="Explore the latest podcasts now."/>
    <n v="1934"/>
    <n v="210"/>
    <n v="393"/>
    <n v="29129"/>
    <n v="73287"/>
    <n v="273"/>
    <x v="1"/>
    <s v="IndieWave"/>
  </r>
  <r>
    <s v="SP003"/>
    <x v="1"/>
    <d v="2024-12-03T00:00:00"/>
    <x v="1"/>
    <s v="New music just dropped. Hit play!"/>
    <n v="3092"/>
    <n v="177"/>
    <n v="81"/>
    <n v="47533"/>
    <n v="29220"/>
    <n v="121"/>
    <x v="2"/>
    <s v="ChillVibes"/>
  </r>
  <r>
    <s v="SP004"/>
    <x v="0"/>
    <d v="2024-12-03T00:00:00"/>
    <x v="0"/>
    <s v="Wrapped is here! Relive your top tracks ðŸŽ§"/>
    <n v="3173"/>
    <n v="229"/>
    <n v="197"/>
    <n v="29604"/>
    <n v="21809"/>
    <n v="272"/>
    <x v="0"/>
    <s v="ChillVibes"/>
  </r>
  <r>
    <s v="SP005"/>
    <x v="2"/>
    <d v="2024-04-06T00:00:00"/>
    <x v="0"/>
    <s v="Music that moves youâ€”only on Spotify."/>
    <n v="2748"/>
    <n v="145"/>
    <n v="315"/>
    <n v="24401"/>
    <n v="61182"/>
    <n v="200"/>
    <x v="3"/>
    <s v="IndieWave"/>
  </r>
  <r>
    <s v="SP006"/>
    <x v="2"/>
    <d v="2024-06-13T00:00:00"/>
    <x v="0"/>
    <s v="Whatâ€™s your vibe today? #SpotifyHits"/>
    <n v="3882"/>
    <n v="239"/>
    <n v="275"/>
    <n v="58748"/>
    <n v="44646"/>
    <n v="149"/>
    <x v="3"/>
    <s v="IndieWave"/>
  </r>
  <r>
    <s v="SP007"/>
    <x v="1"/>
    <d v="2024-12-19T00:00:00"/>
    <x v="1"/>
    <s v="Get into the groove with our new drop!"/>
    <n v="4674"/>
    <n v="409"/>
    <n v="327"/>
    <n v="20756"/>
    <n v="63599"/>
    <n v="212"/>
    <x v="0"/>
    <s v="ChillVibes"/>
  </r>
  <r>
    <s v="SP008"/>
    <x v="1"/>
    <d v="2024-05-09T00:00:00"/>
    <x v="1"/>
    <s v="Wrapped is here! Relive your top tracks ðŸŽ§"/>
    <n v="1428"/>
    <n v="347"/>
    <n v="67"/>
    <n v="21148"/>
    <n v="19712"/>
    <n v="120"/>
    <x v="4"/>
    <s v="ChillVibes"/>
  </r>
  <r>
    <s v="SP009"/>
    <x v="1"/>
    <d v="2025-06-15T00:00:00"/>
    <x v="0"/>
    <s v="Top trending tracks updated daily!"/>
    <n v="4432"/>
    <n v="223"/>
    <n v="299"/>
    <n v="59016"/>
    <n v="21742"/>
    <n v="171"/>
    <x v="5"/>
    <s v="ChillVibes"/>
  </r>
  <r>
    <s v="SP010"/>
    <x v="1"/>
    <d v="2024-12-04T00:00:00"/>
    <x v="0"/>
    <s v="Wrapped is here! Relive your top tracks ðŸŽ§"/>
    <n v="2357"/>
    <n v="274"/>
    <n v="172"/>
    <n v="21566"/>
    <n v="66829"/>
    <n v="284"/>
    <x v="5"/>
    <s v="ChillVibes"/>
  </r>
  <r>
    <s v="SP011"/>
    <x v="1"/>
    <d v="2024-03-06T00:00:00"/>
    <x v="0"/>
    <s v="Discover fresh beats on Spotify!"/>
    <n v="1971"/>
    <n v="370"/>
    <n v="306"/>
    <n v="31316"/>
    <n v="27897"/>
    <n v="88"/>
    <x v="6"/>
    <s v="IndieWave"/>
  </r>
  <r>
    <s v="SP012"/>
    <x v="0"/>
    <d v="2024-05-14T00:00:00"/>
    <x v="0"/>
    <s v="Discover fresh beats on Spotify!"/>
    <n v="1485"/>
    <n v="353"/>
    <n v="244"/>
    <n v="38419"/>
    <n v="38556"/>
    <n v="86"/>
    <x v="0"/>
    <s v="ChillVibes"/>
  </r>
  <r>
    <s v="SP013"/>
    <x v="1"/>
    <d v="2025-06-18T00:00:00"/>
    <x v="1"/>
    <s v="Discover fresh beats on Spotify!"/>
    <n v="3956"/>
    <n v="319"/>
    <n v="61"/>
    <n v="58162"/>
    <n v="28720"/>
    <n v="213"/>
    <x v="2"/>
    <s v="ChillVibes"/>
  </r>
  <r>
    <s v="SP014"/>
    <x v="1"/>
    <d v="2024-10-08T00:00:00"/>
    <x v="0"/>
    <s v="From pop to podcasts, itâ€™s all here."/>
    <n v="2460"/>
    <n v="409"/>
    <n v="253"/>
    <n v="36702"/>
    <n v="46122"/>
    <n v="264"/>
    <x v="5"/>
    <s v="ChillVibes"/>
  </r>
  <r>
    <s v="SP015"/>
    <x v="1"/>
    <d v="2024-05-06T00:00:00"/>
    <x v="0"/>
    <s v="Your weekend playlist is waiting."/>
    <n v="3476"/>
    <n v="355"/>
    <n v="396"/>
    <n v="37492"/>
    <n v="27285"/>
    <n v="179"/>
    <x v="5"/>
    <s v="ChillVibes"/>
  </r>
  <r>
    <s v="SP016"/>
    <x v="1"/>
    <d v="2024-12-29T00:00:00"/>
    <x v="1"/>
    <s v="New music just dropped. Hit play!"/>
    <n v="4049"/>
    <n v="377"/>
    <n v="94"/>
    <n v="48182"/>
    <n v="42875"/>
    <n v="172"/>
    <x v="2"/>
    <s v="ChillVibes"/>
  </r>
  <r>
    <s v="SP017"/>
    <x v="1"/>
    <d v="2024-06-10T00:00:00"/>
    <x v="0"/>
    <s v="Whatâ€™s your vibe today? #SpotifyHits"/>
    <n v="1514"/>
    <n v="164"/>
    <n v="275"/>
    <n v="41364"/>
    <n v="44389"/>
    <n v="83"/>
    <x v="5"/>
    <s v="ChillVibes"/>
  </r>
  <r>
    <s v="SP018"/>
    <x v="0"/>
    <d v="2024-02-03T00:00:00"/>
    <x v="1"/>
    <s v="Music that moves youâ€”only on Spotify."/>
    <n v="4281"/>
    <n v="101"/>
    <n v="163"/>
    <n v="32278"/>
    <n v="53382"/>
    <n v="235"/>
    <x v="5"/>
    <s v="Wrapped2024"/>
  </r>
  <r>
    <s v="SP019"/>
    <x v="2"/>
    <d v="2024-06-15T00:00:00"/>
    <x v="2"/>
    <s v="Get into the groove with our new drop!"/>
    <n v="1751"/>
    <n v="143"/>
    <n v="151"/>
    <n v="31826"/>
    <n v="47729"/>
    <n v="95"/>
    <x v="7"/>
    <s v="SummerBeats"/>
  </r>
  <r>
    <s v="SP020"/>
    <x v="0"/>
    <d v="2024-07-05T00:00:00"/>
    <x v="0"/>
    <s v="Your weekend playlist is waiting."/>
    <n v="3753"/>
    <n v="411"/>
    <n v="308"/>
    <n v="29138"/>
    <n v="27678"/>
    <n v="90"/>
    <x v="1"/>
    <s v="IndieWave"/>
  </r>
  <r>
    <s v="SP021"/>
    <x v="0"/>
    <d v="2024-11-07T00:00:00"/>
    <x v="1"/>
    <s v="Wrapped is here! Relive your top tracks ðŸŽ§"/>
    <n v="1678"/>
    <n v="423"/>
    <n v="323"/>
    <n v="55668"/>
    <n v="37945"/>
    <n v="230"/>
    <x v="5"/>
    <s v="Wrapped2024"/>
  </r>
  <r>
    <s v="SP022"/>
    <x v="0"/>
    <d v="2025-06-15T00:00:00"/>
    <x v="0"/>
    <s v="Whatâ€™s your vibe today? #SpotifyHits"/>
    <n v="4896"/>
    <n v="466"/>
    <n v="233"/>
    <n v="28621"/>
    <n v="34270"/>
    <n v="84"/>
    <x v="0"/>
    <s v="ChillVibes"/>
  </r>
  <r>
    <s v="SP023"/>
    <x v="2"/>
    <d v="2024-06-09T00:00:00"/>
    <x v="2"/>
    <s v="From pop to podcasts, itâ€™s all here."/>
    <n v="2786"/>
    <n v="368"/>
    <n v="208"/>
    <n v="42000"/>
    <n v="39967"/>
    <n v="103"/>
    <x v="7"/>
    <s v="SummerBeats"/>
  </r>
  <r>
    <s v="SP024"/>
    <x v="1"/>
    <d v="2024-10-18T00:00:00"/>
    <x v="0"/>
    <s v="New music just dropped. Hit play!"/>
    <n v="2607"/>
    <n v="379"/>
    <n v="180"/>
    <n v="28712"/>
    <n v="61620"/>
    <n v="174"/>
    <x v="6"/>
    <s v="IndieWave"/>
  </r>
  <r>
    <s v="SP025"/>
    <x v="2"/>
    <d v="2024-10-10T00:00:00"/>
    <x v="2"/>
    <s v="From pop to podcasts, itâ€™s all here."/>
    <n v="4013"/>
    <n v="320"/>
    <n v="92"/>
    <n v="54605"/>
    <n v="60169"/>
    <n v="232"/>
    <x v="7"/>
    <s v="SummerBeats"/>
  </r>
  <r>
    <s v="SP026"/>
    <x v="1"/>
    <d v="2025-05-14T00:00:00"/>
    <x v="1"/>
    <s v="From pop to podcasts, itâ€™s all here."/>
    <n v="2707"/>
    <n v="103"/>
    <n v="51"/>
    <n v="55302"/>
    <n v="18801"/>
    <n v="147"/>
    <x v="4"/>
    <s v="ChillVibes"/>
  </r>
  <r>
    <s v="SP027"/>
    <x v="0"/>
    <d v="2024-11-29T00:00:00"/>
    <x v="0"/>
    <s v="Whatâ€™s your vibe today? #SpotifyHits"/>
    <n v="2824"/>
    <n v="425"/>
    <n v="274"/>
    <n v="31004"/>
    <n v="53488"/>
    <n v="268"/>
    <x v="0"/>
    <s v="ChillVibes"/>
  </r>
  <r>
    <s v="SP028"/>
    <x v="2"/>
    <d v="2024-03-05T00:00:00"/>
    <x v="2"/>
    <s v="Explore the latest podcasts now."/>
    <n v="3558"/>
    <n v="314"/>
    <n v="199"/>
    <n v="49612"/>
    <n v="53929"/>
    <n v="206"/>
    <x v="7"/>
    <s v="SummerBeats"/>
  </r>
  <r>
    <s v="SP029"/>
    <x v="1"/>
    <d v="2025-03-18T00:00:00"/>
    <x v="1"/>
    <s v="Explore the latest podcasts now."/>
    <n v="3418"/>
    <n v="188"/>
    <n v="387"/>
    <n v="57431"/>
    <n v="36933"/>
    <n v="202"/>
    <x v="2"/>
    <s v="ChillVibes"/>
  </r>
  <r>
    <s v="SP030"/>
    <x v="1"/>
    <d v="2025-04-26T00:00:00"/>
    <x v="0"/>
    <s v="Discover fresh beats on Spotify!"/>
    <n v="2411"/>
    <n v="194"/>
    <n v="168"/>
    <n v="26665"/>
    <n v="71699"/>
    <n v="197"/>
    <x v="5"/>
    <s v="ChillVibes"/>
  </r>
  <r>
    <s v="SP031"/>
    <x v="0"/>
    <d v="2025-01-01T00:00:00"/>
    <x v="0"/>
    <s v="New music just dropped. Hit play!"/>
    <n v="4036"/>
    <n v="112"/>
    <n v="382"/>
    <n v="56284"/>
    <n v="29440"/>
    <n v="279"/>
    <x v="0"/>
    <s v="ChillVibes"/>
  </r>
  <r>
    <s v="SP032"/>
    <x v="1"/>
    <d v="2024-05-07T00:00:00"/>
    <x v="1"/>
    <s v="Explore the latest podcasts now."/>
    <n v="2776"/>
    <n v="307"/>
    <n v="178"/>
    <n v="43365"/>
    <n v="48408"/>
    <n v="138"/>
    <x v="0"/>
    <s v="ChillVibes"/>
  </r>
  <r>
    <s v="SP033"/>
    <x v="1"/>
    <d v="2024-10-09T00:00:00"/>
    <x v="1"/>
    <s v="Discover fresh beats on Spotify!"/>
    <n v="4929"/>
    <n v="182"/>
    <n v="95"/>
    <n v="32181"/>
    <n v="31084"/>
    <n v="289"/>
    <x v="4"/>
    <s v="ChillVibes"/>
  </r>
  <r>
    <s v="SP034"/>
    <x v="0"/>
    <d v="2025-01-09T00:00:00"/>
    <x v="0"/>
    <s v="New music just dropped. Hit play!"/>
    <n v="1015"/>
    <n v="366"/>
    <n v="308"/>
    <n v="38127"/>
    <n v="63790"/>
    <n v="287"/>
    <x v="0"/>
    <s v="ChillVibes"/>
  </r>
  <r>
    <s v="SP035"/>
    <x v="1"/>
    <d v="2025-05-08T00:00:00"/>
    <x v="1"/>
    <s v="Your weekend playlist is waiting."/>
    <n v="3316"/>
    <n v="332"/>
    <n v="268"/>
    <n v="40095"/>
    <n v="36913"/>
    <n v="265"/>
    <x v="2"/>
    <s v="ChillVibes"/>
  </r>
  <r>
    <s v="SP036"/>
    <x v="0"/>
    <d v="2024-05-04T00:00:00"/>
    <x v="0"/>
    <s v="Wrapped is here! Relive your top tracks ðŸŽ§"/>
    <n v="2274"/>
    <n v="243"/>
    <n v="222"/>
    <n v="43066"/>
    <n v="59174"/>
    <n v="80"/>
    <x v="1"/>
    <s v="IndieWave"/>
  </r>
  <r>
    <s v="SP037"/>
    <x v="1"/>
    <d v="2025-05-27T00:00:00"/>
    <x v="1"/>
    <s v="Explore the latest podcasts now."/>
    <n v="4095"/>
    <n v="385"/>
    <n v="400"/>
    <n v="45300"/>
    <n v="31795"/>
    <n v="80"/>
    <x v="2"/>
    <s v="ChillVibes"/>
  </r>
  <r>
    <s v="SP038"/>
    <x v="0"/>
    <d v="2024-09-10T00:00:00"/>
    <x v="1"/>
    <s v="New music just dropped. Hit play!"/>
    <n v="1230"/>
    <n v="309"/>
    <n v="207"/>
    <n v="44629"/>
    <n v="40699"/>
    <n v="195"/>
    <x v="5"/>
    <s v="Wrapped2024"/>
  </r>
  <r>
    <s v="SP039"/>
    <x v="0"/>
    <d v="2024-11-25T00:00:00"/>
    <x v="0"/>
    <s v="From pop to podcasts, itâ€™s all here."/>
    <n v="1341"/>
    <n v="472"/>
    <n v="238"/>
    <n v="51386"/>
    <n v="51706"/>
    <n v="133"/>
    <x v="1"/>
    <s v="IndieWave"/>
  </r>
  <r>
    <s v="SP040"/>
    <x v="1"/>
    <d v="2025-06-10T00:00:00"/>
    <x v="0"/>
    <s v="Explore the latest podcasts now."/>
    <n v="3615"/>
    <n v="192"/>
    <n v="162"/>
    <n v="27492"/>
    <n v="35341"/>
    <n v="125"/>
    <x v="5"/>
    <s v="ChillVibes"/>
  </r>
  <r>
    <s v="SP041"/>
    <x v="0"/>
    <d v="2024-04-19T00:00:00"/>
    <x v="0"/>
    <s v="New music just dropped. Hit play!"/>
    <n v="4001"/>
    <n v="353"/>
    <n v="129"/>
    <n v="41265"/>
    <n v="37279"/>
    <n v="275"/>
    <x v="0"/>
    <s v="ChillVibes"/>
  </r>
  <r>
    <s v="SP042"/>
    <x v="0"/>
    <d v="2025-01-26T00:00:00"/>
    <x v="1"/>
    <s v="Whatâ€™s your vibe today? #SpotifyHits"/>
    <n v="3451"/>
    <n v="363"/>
    <n v="393"/>
    <n v="44853"/>
    <n v="69032"/>
    <n v="211"/>
    <x v="5"/>
    <s v="Wrapped2024"/>
  </r>
  <r>
    <s v="SP043"/>
    <x v="0"/>
    <d v="2025-02-14T00:00:00"/>
    <x v="0"/>
    <s v="Top trending tracks updated daily!"/>
    <n v="4891"/>
    <n v="450"/>
    <n v="387"/>
    <n v="48746"/>
    <n v="37312"/>
    <n v="154"/>
    <x v="0"/>
    <s v="ChillVibes"/>
  </r>
  <r>
    <s v="SP044"/>
    <x v="0"/>
    <d v="2024-09-06T00:00:00"/>
    <x v="0"/>
    <s v="New music just dropped. Hit play!"/>
    <n v="1452"/>
    <n v="281"/>
    <n v="326"/>
    <n v="51556"/>
    <n v="62599"/>
    <n v="290"/>
    <x v="1"/>
    <s v="IndieWave"/>
  </r>
  <r>
    <s v="SP045"/>
    <x v="2"/>
    <d v="2024-07-14T00:00:00"/>
    <x v="0"/>
    <s v="Your weekend playlist is waiting."/>
    <n v="3806"/>
    <n v="114"/>
    <n v="278"/>
    <n v="36148"/>
    <n v="24209"/>
    <n v="201"/>
    <x v="3"/>
    <s v="IndieWave"/>
  </r>
  <r>
    <s v="SP046"/>
    <x v="0"/>
    <d v="2024-02-12T00:00:00"/>
    <x v="0"/>
    <s v="Explore the latest podcasts now."/>
    <n v="2923"/>
    <n v="330"/>
    <n v="250"/>
    <n v="23993"/>
    <n v="74590"/>
    <n v="92"/>
    <x v="1"/>
    <s v="IndieWave"/>
  </r>
  <r>
    <s v="SP047"/>
    <x v="2"/>
    <d v="2024-03-14T00:00:00"/>
    <x v="2"/>
    <s v="From pop to podcasts, itâ€™s all here."/>
    <n v="3361"/>
    <n v="188"/>
    <n v="358"/>
    <n v="39838"/>
    <n v="24536"/>
    <n v="120"/>
    <x v="7"/>
    <s v="SummerBeats"/>
  </r>
  <r>
    <s v="SP048"/>
    <x v="0"/>
    <d v="2025-02-05T00:00:00"/>
    <x v="1"/>
    <s v="Music that moves youâ€”only on Spotify."/>
    <n v="3074"/>
    <n v="371"/>
    <n v="348"/>
    <n v="24104"/>
    <n v="57803"/>
    <n v="213"/>
    <x v="5"/>
    <s v="Wrapped2024"/>
  </r>
  <r>
    <s v="SP049"/>
    <x v="1"/>
    <d v="2024-08-29T00:00:00"/>
    <x v="1"/>
    <s v="Get into the groove with our new drop!"/>
    <n v="4276"/>
    <n v="227"/>
    <n v="223"/>
    <n v="43443"/>
    <n v="41005"/>
    <n v="191"/>
    <x v="4"/>
    <s v="ChillVibes"/>
  </r>
  <r>
    <s v="SP050"/>
    <x v="1"/>
    <d v="2025-04-22T00:00:00"/>
    <x v="0"/>
    <s v="Discover fresh beats on Spotify!"/>
    <n v="4401"/>
    <n v="421"/>
    <n v="216"/>
    <n v="24890"/>
    <n v="54361"/>
    <n v="148"/>
    <x v="5"/>
    <s v="ChillVibes"/>
  </r>
  <r>
    <s v="SP051"/>
    <x v="2"/>
    <d v="2024-05-13T00:00:00"/>
    <x v="2"/>
    <s v="Explore the latest podcasts now."/>
    <n v="4161"/>
    <n v="481"/>
    <n v="61"/>
    <n v="45884"/>
    <n v="48955"/>
    <n v="215"/>
    <x v="7"/>
    <s v="SummerBeats"/>
  </r>
  <r>
    <s v="SP052"/>
    <x v="1"/>
    <d v="2024-09-04T00:00:00"/>
    <x v="1"/>
    <s v="New music just dropped. Hit play!"/>
    <n v="2613"/>
    <n v="455"/>
    <n v="228"/>
    <n v="21645"/>
    <n v="61334"/>
    <n v="261"/>
    <x v="4"/>
    <s v="ChillVibes"/>
  </r>
  <r>
    <s v="SP053"/>
    <x v="1"/>
    <d v="2024-08-12T00:00:00"/>
    <x v="1"/>
    <s v="Whatâ€™s your vibe today? #SpotifyHits"/>
    <n v="2842"/>
    <n v="213"/>
    <n v="331"/>
    <n v="57660"/>
    <n v="68606"/>
    <n v="87"/>
    <x v="2"/>
    <s v="ChillVibes"/>
  </r>
  <r>
    <s v="SP054"/>
    <x v="0"/>
    <d v="2025-03-06T00:00:00"/>
    <x v="0"/>
    <s v="Get into the groove with our new drop!"/>
    <n v="4851"/>
    <n v="460"/>
    <n v="212"/>
    <n v="58075"/>
    <n v="59574"/>
    <n v="239"/>
    <x v="1"/>
    <s v="IndieWave"/>
  </r>
  <r>
    <s v="SP055"/>
    <x v="1"/>
    <d v="2024-05-08T00:00:00"/>
    <x v="0"/>
    <s v="Explore the latest podcasts now."/>
    <n v="1828"/>
    <n v="450"/>
    <n v="214"/>
    <n v="52115"/>
    <n v="19166"/>
    <n v="190"/>
    <x v="5"/>
    <s v="ChillVibes"/>
  </r>
  <r>
    <s v="SP056"/>
    <x v="0"/>
    <d v="2025-02-19T00:00:00"/>
    <x v="1"/>
    <s v="From pop to podcasts, itâ€™s all here."/>
    <n v="2422"/>
    <n v="455"/>
    <n v="376"/>
    <n v="23428"/>
    <n v="46775"/>
    <n v="259"/>
    <x v="5"/>
    <s v="Wrapped2024"/>
  </r>
  <r>
    <s v="SP057"/>
    <x v="0"/>
    <d v="2024-01-08T00:00:00"/>
    <x v="0"/>
    <s v="Top trending tracks updated daily!"/>
    <n v="2683"/>
    <n v="405"/>
    <n v="223"/>
    <n v="31233"/>
    <n v="58106"/>
    <n v="291"/>
    <x v="1"/>
    <s v="IndieWave"/>
  </r>
  <r>
    <s v="SP058"/>
    <x v="2"/>
    <d v="2024-07-17T00:00:00"/>
    <x v="0"/>
    <s v="Top trending tracks updated daily!"/>
    <n v="3135"/>
    <n v="110"/>
    <n v="215"/>
    <n v="39192"/>
    <n v="24744"/>
    <n v="177"/>
    <x v="3"/>
    <s v="IndieWave"/>
  </r>
  <r>
    <s v="SP059"/>
    <x v="2"/>
    <d v="2024-08-10T00:00:00"/>
    <x v="0"/>
    <s v="From pop to podcasts, itâ€™s all here."/>
    <n v="1105"/>
    <n v="181"/>
    <n v="55"/>
    <n v="53581"/>
    <n v="74048"/>
    <n v="220"/>
    <x v="3"/>
    <s v="IndieWave"/>
  </r>
  <r>
    <s v="SP060"/>
    <x v="2"/>
    <d v="2024-04-16T00:00:00"/>
    <x v="0"/>
    <s v="Discover fresh beats on Spotify!"/>
    <n v="4674"/>
    <n v="326"/>
    <n v="62"/>
    <n v="45503"/>
    <n v="46814"/>
    <n v="116"/>
    <x v="3"/>
    <s v="IndieWave"/>
  </r>
  <r>
    <s v="SP061"/>
    <x v="2"/>
    <d v="2024-01-01T00:00:00"/>
    <x v="2"/>
    <s v="Explore the latest podcasts now."/>
    <n v="3437"/>
    <n v="129"/>
    <n v="359"/>
    <n v="44558"/>
    <n v="30854"/>
    <n v="171"/>
    <x v="7"/>
    <s v="SummerBeats"/>
  </r>
  <r>
    <s v="SP062"/>
    <x v="1"/>
    <d v="2024-11-03T00:00:00"/>
    <x v="1"/>
    <s v="Wrapped is here! Relive your top tracks ðŸŽ§"/>
    <n v="1959"/>
    <n v="316"/>
    <n v="82"/>
    <n v="54036"/>
    <n v="69015"/>
    <n v="182"/>
    <x v="2"/>
    <s v="ChillVibes"/>
  </r>
  <r>
    <s v="SP063"/>
    <x v="1"/>
    <d v="2024-07-07T00:00:00"/>
    <x v="0"/>
    <s v="New music just dropped. Hit play!"/>
    <n v="1035"/>
    <n v="137"/>
    <n v="184"/>
    <n v="37302"/>
    <n v="68953"/>
    <n v="237"/>
    <x v="6"/>
    <s v="IndieWave"/>
  </r>
  <r>
    <s v="SP064"/>
    <x v="1"/>
    <d v="2025-01-22T00:00:00"/>
    <x v="1"/>
    <s v="New music just dropped. Hit play!"/>
    <n v="4478"/>
    <n v="101"/>
    <n v="121"/>
    <n v="51035"/>
    <n v="58207"/>
    <n v="205"/>
    <x v="2"/>
    <s v="ChillVibes"/>
  </r>
  <r>
    <s v="SP065"/>
    <x v="2"/>
    <d v="2024-05-26T00:00:00"/>
    <x v="0"/>
    <s v="From pop to podcasts, itâ€™s all here."/>
    <n v="1488"/>
    <n v="327"/>
    <n v="110"/>
    <n v="53805"/>
    <n v="30239"/>
    <n v="109"/>
    <x v="3"/>
    <s v="IndieWave"/>
  </r>
  <r>
    <s v="SP066"/>
    <x v="0"/>
    <d v="2025-04-16T00:00:00"/>
    <x v="0"/>
    <s v="Wrapped is here! Relive your top tracks ðŸŽ§"/>
    <n v="4836"/>
    <n v="331"/>
    <n v="140"/>
    <n v="58792"/>
    <n v="47711"/>
    <n v="227"/>
    <x v="0"/>
    <s v="ChillVibes"/>
  </r>
  <r>
    <s v="SP067"/>
    <x v="2"/>
    <d v="2024-04-02T00:00:00"/>
    <x v="2"/>
    <s v="Your weekend playlist is waiting."/>
    <n v="4563"/>
    <n v="488"/>
    <n v="356"/>
    <n v="30619"/>
    <n v="23328"/>
    <n v="267"/>
    <x v="7"/>
    <s v="SummerBeats"/>
  </r>
  <r>
    <s v="SP068"/>
    <x v="1"/>
    <d v="2024-03-28T00:00:00"/>
    <x v="0"/>
    <s v="Music that moves youâ€”only on Spotify."/>
    <n v="3276"/>
    <n v="421"/>
    <n v="114"/>
    <n v="20580"/>
    <n v="30324"/>
    <n v="221"/>
    <x v="6"/>
    <s v="IndieWave"/>
  </r>
  <r>
    <s v="SP069"/>
    <x v="1"/>
    <d v="2024-12-17T00:00:00"/>
    <x v="1"/>
    <s v="Music that moves youâ€”only on Spotify."/>
    <n v="1316"/>
    <n v="472"/>
    <n v="286"/>
    <n v="44692"/>
    <n v="53343"/>
    <n v="227"/>
    <x v="4"/>
    <s v="ChillVibes"/>
  </r>
  <r>
    <s v="SP070"/>
    <x v="1"/>
    <d v="2025-01-05T00:00:00"/>
    <x v="0"/>
    <s v="Wrapped is here! Relive your top tracks ðŸŽ§"/>
    <n v="4811"/>
    <n v="473"/>
    <n v="254"/>
    <n v="51964"/>
    <n v="68795"/>
    <n v="107"/>
    <x v="5"/>
    <s v="ChillVibes"/>
  </r>
  <r>
    <s v="SP071"/>
    <x v="1"/>
    <d v="2024-01-11T00:00:00"/>
    <x v="0"/>
    <s v="Whatâ€™s your vibe today? #SpotifyHits"/>
    <n v="4218"/>
    <n v="247"/>
    <n v="183"/>
    <n v="28914"/>
    <n v="18310"/>
    <n v="135"/>
    <x v="6"/>
    <s v="IndieWave"/>
  </r>
  <r>
    <s v="SP072"/>
    <x v="0"/>
    <d v="2024-10-11T00:00:00"/>
    <x v="0"/>
    <s v="From pop to podcasts, itâ€™s all here."/>
    <n v="1360"/>
    <n v="249"/>
    <n v="52"/>
    <n v="20368"/>
    <n v="42152"/>
    <n v="193"/>
    <x v="1"/>
    <s v="IndieWave"/>
  </r>
  <r>
    <s v="SP073"/>
    <x v="2"/>
    <d v="2025-05-06T00:00:00"/>
    <x v="2"/>
    <s v="Discover fresh beats on Spotify!"/>
    <n v="1085"/>
    <n v="496"/>
    <n v="320"/>
    <n v="36528"/>
    <n v="38599"/>
    <n v="270"/>
    <x v="7"/>
    <s v="SummerBeats"/>
  </r>
  <r>
    <s v="SP074"/>
    <x v="1"/>
    <d v="2024-05-19T00:00:00"/>
    <x v="1"/>
    <s v="Get into the groove with our new drop!"/>
    <n v="1763"/>
    <n v="206"/>
    <n v="187"/>
    <n v="53342"/>
    <n v="25095"/>
    <n v="88"/>
    <x v="4"/>
    <s v="ChillVibes"/>
  </r>
  <r>
    <s v="SP075"/>
    <x v="1"/>
    <d v="2024-01-22T00:00:00"/>
    <x v="1"/>
    <s v="From pop to podcasts, itâ€™s all here."/>
    <n v="1554"/>
    <n v="455"/>
    <n v="158"/>
    <n v="41947"/>
    <n v="48578"/>
    <n v="101"/>
    <x v="0"/>
    <s v="ChillVibes"/>
  </r>
  <r>
    <s v="SP076"/>
    <x v="0"/>
    <d v="2024-07-14T00:00:00"/>
    <x v="0"/>
    <s v="Wrapped is here! Relive your top tracks ðŸŽ§"/>
    <n v="2464"/>
    <n v="401"/>
    <n v="78"/>
    <n v="38665"/>
    <n v="73593"/>
    <n v="207"/>
    <x v="1"/>
    <s v="IndieWave"/>
  </r>
  <r>
    <s v="SP077"/>
    <x v="1"/>
    <d v="2025-05-28T00:00:00"/>
    <x v="0"/>
    <s v="From pop to podcasts, itâ€™s all here."/>
    <n v="2418"/>
    <n v="161"/>
    <n v="360"/>
    <n v="30589"/>
    <n v="41383"/>
    <n v="88"/>
    <x v="5"/>
    <s v="ChillVibes"/>
  </r>
  <r>
    <s v="SP078"/>
    <x v="1"/>
    <d v="2025-01-21T00:00:00"/>
    <x v="1"/>
    <s v="Discover fresh beats on Spotify!"/>
    <n v="2494"/>
    <n v="494"/>
    <n v="55"/>
    <n v="22580"/>
    <n v="22214"/>
    <n v="109"/>
    <x v="2"/>
    <s v="ChillVibes"/>
  </r>
  <r>
    <s v="SP079"/>
    <x v="2"/>
    <d v="2024-01-13T00:00:00"/>
    <x v="2"/>
    <s v="New music just dropped. Hit play!"/>
    <n v="4781"/>
    <n v="191"/>
    <n v="122"/>
    <n v="35535"/>
    <n v="50777"/>
    <n v="128"/>
    <x v="7"/>
    <s v="SummerBeats"/>
  </r>
  <r>
    <s v="SP080"/>
    <x v="0"/>
    <d v="2025-06-17T00:00:00"/>
    <x v="0"/>
    <s v="Music that moves youâ€”only on Spotify."/>
    <n v="2284"/>
    <n v="187"/>
    <n v="260"/>
    <n v="37400"/>
    <n v="65014"/>
    <n v="157"/>
    <x v="0"/>
    <s v="ChillVibes"/>
  </r>
  <r>
    <s v="SP081"/>
    <x v="1"/>
    <d v="2025-03-07T00:00:00"/>
    <x v="0"/>
    <s v="Get into the groove with our new drop!"/>
    <n v="4234"/>
    <n v="486"/>
    <n v="276"/>
    <n v="56623"/>
    <n v="41343"/>
    <n v="184"/>
    <x v="6"/>
    <s v="IndieWave"/>
  </r>
  <r>
    <s v="SP082"/>
    <x v="0"/>
    <d v="2024-08-26T00:00:00"/>
    <x v="0"/>
    <s v="Your weekend playlist is waiting."/>
    <n v="2102"/>
    <n v="181"/>
    <n v="306"/>
    <n v="43650"/>
    <n v="50079"/>
    <n v="182"/>
    <x v="1"/>
    <s v="IndieWave"/>
  </r>
  <r>
    <s v="SP083"/>
    <x v="1"/>
    <d v="2025-01-03T00:00:00"/>
    <x v="1"/>
    <s v="Get into the groove with our new drop!"/>
    <n v="4845"/>
    <n v="158"/>
    <n v="84"/>
    <n v="34578"/>
    <n v="51480"/>
    <n v="180"/>
    <x v="0"/>
    <s v="ChillVibes"/>
  </r>
  <r>
    <s v="SP084"/>
    <x v="1"/>
    <d v="2024-08-03T00:00:00"/>
    <x v="0"/>
    <s v="Your weekend playlist is waiting."/>
    <n v="4247"/>
    <n v="390"/>
    <n v="213"/>
    <n v="29785"/>
    <n v="57768"/>
    <n v="122"/>
    <x v="5"/>
    <s v="ChillVibes"/>
  </r>
  <r>
    <s v="SP085"/>
    <x v="0"/>
    <d v="2024-08-18T00:00:00"/>
    <x v="0"/>
    <s v="Explore the latest podcasts now."/>
    <n v="2965"/>
    <n v="328"/>
    <n v="171"/>
    <n v="57685"/>
    <n v="67536"/>
    <n v="264"/>
    <x v="0"/>
    <s v="ChillVibes"/>
  </r>
  <r>
    <s v="SP086"/>
    <x v="1"/>
    <d v="2025-05-14T00:00:00"/>
    <x v="1"/>
    <s v="Wrapped is here! Relive your top tracks ðŸŽ§"/>
    <n v="1371"/>
    <n v="139"/>
    <n v="96"/>
    <n v="36140"/>
    <n v="39395"/>
    <n v="169"/>
    <x v="0"/>
    <s v="ChillVibes"/>
  </r>
  <r>
    <s v="SP087"/>
    <x v="1"/>
    <d v="2024-04-23T00:00:00"/>
    <x v="1"/>
    <s v="Discover fresh beats on Spotify!"/>
    <n v="2683"/>
    <n v="496"/>
    <n v="89"/>
    <n v="53435"/>
    <n v="30334"/>
    <n v="160"/>
    <x v="0"/>
    <s v="ChillVibes"/>
  </r>
  <r>
    <s v="SP088"/>
    <x v="1"/>
    <d v="2025-02-17T00:00:00"/>
    <x v="1"/>
    <s v="Whatâ€™s your vibe today? #SpotifyHits"/>
    <n v="4796"/>
    <n v="427"/>
    <n v="339"/>
    <n v="30752"/>
    <n v="33870"/>
    <n v="298"/>
    <x v="0"/>
    <s v="ChillVibes"/>
  </r>
  <r>
    <s v="SP089"/>
    <x v="0"/>
    <d v="2024-12-04T00:00:00"/>
    <x v="0"/>
    <s v="Wrapped is here! Relive your top tracks ðŸŽ§"/>
    <n v="2601"/>
    <n v="336"/>
    <n v="260"/>
    <n v="32368"/>
    <n v="49028"/>
    <n v="120"/>
    <x v="0"/>
    <s v="ChillVibes"/>
  </r>
  <r>
    <s v="SP090"/>
    <x v="1"/>
    <d v="2024-07-22T00:00:00"/>
    <x v="1"/>
    <s v="Wrapped is here! Relive your top tracks ðŸŽ§"/>
    <n v="3336"/>
    <n v="229"/>
    <n v="337"/>
    <n v="22117"/>
    <n v="26205"/>
    <n v="160"/>
    <x v="2"/>
    <s v="ChillVibes"/>
  </r>
  <r>
    <s v="SP091"/>
    <x v="1"/>
    <d v="2025-04-27T00:00:00"/>
    <x v="0"/>
    <s v="Explore the latest podcasts now."/>
    <n v="1165"/>
    <n v="294"/>
    <n v="163"/>
    <n v="20659"/>
    <n v="45926"/>
    <n v="111"/>
    <x v="6"/>
    <s v="IndieWave"/>
  </r>
  <r>
    <s v="SP092"/>
    <x v="2"/>
    <d v="2024-03-25T00:00:00"/>
    <x v="2"/>
    <s v="Explore the latest podcasts now."/>
    <n v="1948"/>
    <n v="155"/>
    <n v="315"/>
    <n v="30321"/>
    <n v="57121"/>
    <n v="82"/>
    <x v="7"/>
    <s v="SummerBeats"/>
  </r>
  <r>
    <s v="SP093"/>
    <x v="0"/>
    <d v="2024-02-29T00:00:00"/>
    <x v="0"/>
    <s v="From pop to podcasts, itâ€™s all here."/>
    <n v="1100"/>
    <n v="229"/>
    <n v="312"/>
    <n v="25641"/>
    <n v="34601"/>
    <n v="169"/>
    <x v="1"/>
    <s v="IndieWave"/>
  </r>
  <r>
    <s v="SP094"/>
    <x v="1"/>
    <d v="2024-11-13T00:00:00"/>
    <x v="1"/>
    <s v="Top trending tracks updated daily!"/>
    <n v="4628"/>
    <n v="257"/>
    <n v="397"/>
    <n v="36686"/>
    <n v="54683"/>
    <n v="98"/>
    <x v="0"/>
    <s v="ChillVibes"/>
  </r>
  <r>
    <s v="SP095"/>
    <x v="0"/>
    <d v="2024-03-22T00:00:00"/>
    <x v="1"/>
    <s v="Discover fresh beats on Spotify!"/>
    <n v="2319"/>
    <n v="484"/>
    <n v="193"/>
    <n v="21202"/>
    <n v="18091"/>
    <n v="241"/>
    <x v="5"/>
    <s v="Wrapped2024"/>
  </r>
  <r>
    <s v="SP096"/>
    <x v="1"/>
    <d v="2024-03-16T00:00:00"/>
    <x v="1"/>
    <s v="Wrapped is here! Relive your top tracks ðŸŽ§"/>
    <n v="2895"/>
    <n v="292"/>
    <n v="90"/>
    <n v="24223"/>
    <n v="54626"/>
    <n v="114"/>
    <x v="0"/>
    <s v="ChillVibes"/>
  </r>
  <r>
    <s v="SP097"/>
    <x v="0"/>
    <d v="2024-01-26T00:00:00"/>
    <x v="0"/>
    <s v="Whatâ€™s your vibe today? #SpotifyHits"/>
    <n v="3878"/>
    <n v="431"/>
    <n v="97"/>
    <n v="41763"/>
    <n v="29729"/>
    <n v="191"/>
    <x v="1"/>
    <s v="IndieWave"/>
  </r>
  <r>
    <s v="SP098"/>
    <x v="1"/>
    <d v="2024-03-15T00:00:00"/>
    <x v="1"/>
    <s v="Get into the groove with our new drop!"/>
    <n v="4969"/>
    <n v="433"/>
    <n v="237"/>
    <n v="59552"/>
    <n v="23885"/>
    <n v="157"/>
    <x v="4"/>
    <s v="ChillVibes"/>
  </r>
  <r>
    <s v="SP099"/>
    <x v="1"/>
    <d v="2024-10-15T00:00:00"/>
    <x v="0"/>
    <s v="Wrapped is here! Relive your top tracks ðŸŽ§"/>
    <n v="1984"/>
    <n v="481"/>
    <n v="356"/>
    <n v="40681"/>
    <n v="63111"/>
    <n v="258"/>
    <x v="5"/>
    <s v="ChillVibes"/>
  </r>
  <r>
    <s v="SP100"/>
    <x v="0"/>
    <d v="2024-07-21T00:00:00"/>
    <x v="0"/>
    <s v="Discover fresh beats on Spotify!"/>
    <n v="3004"/>
    <n v="415"/>
    <n v="218"/>
    <n v="36090"/>
    <n v="37073"/>
    <n v="181"/>
    <x v="1"/>
    <s v="IndieWave"/>
  </r>
  <r>
    <s v="SP101"/>
    <x v="1"/>
    <d v="2024-10-12T00:00:00"/>
    <x v="0"/>
    <s v="Get into the groove with our new drop!"/>
    <n v="3169"/>
    <n v="386"/>
    <n v="175"/>
    <n v="45012"/>
    <n v="38508"/>
    <n v="218"/>
    <x v="5"/>
    <s v="ChillVibes"/>
  </r>
  <r>
    <s v="SP102"/>
    <x v="1"/>
    <d v="2024-10-26T00:00:00"/>
    <x v="0"/>
    <s v="Discover fresh beats on Spotify!"/>
    <n v="3036"/>
    <n v="293"/>
    <n v="115"/>
    <n v="23776"/>
    <n v="46386"/>
    <n v="282"/>
    <x v="5"/>
    <s v="ChillVibes"/>
  </r>
  <r>
    <s v="SP103"/>
    <x v="0"/>
    <d v="2024-02-14T00:00:00"/>
    <x v="0"/>
    <s v="Music that moves youâ€”only on Spotify."/>
    <n v="1830"/>
    <n v="112"/>
    <n v="181"/>
    <n v="31870"/>
    <n v="55742"/>
    <n v="263"/>
    <x v="0"/>
    <s v="ChillVibes"/>
  </r>
  <r>
    <s v="SP104"/>
    <x v="1"/>
    <d v="2024-05-01T00:00:00"/>
    <x v="1"/>
    <s v="Whatâ€™s your vibe today? #SpotifyHits"/>
    <n v="2587"/>
    <n v="447"/>
    <n v="183"/>
    <n v="36266"/>
    <n v="32877"/>
    <n v="132"/>
    <x v="4"/>
    <s v="ChillVibes"/>
  </r>
  <r>
    <s v="SP105"/>
    <x v="1"/>
    <d v="2024-09-18T00:00:00"/>
    <x v="0"/>
    <s v="Discover fresh beats on Spotify!"/>
    <n v="2878"/>
    <n v="265"/>
    <n v="91"/>
    <n v="52090"/>
    <n v="28924"/>
    <n v="133"/>
    <x v="5"/>
    <s v="ChillVibes"/>
  </r>
  <r>
    <s v="SP106"/>
    <x v="1"/>
    <d v="2025-01-20T00:00:00"/>
    <x v="1"/>
    <s v="New music just dropped. Hit play!"/>
    <n v="4619"/>
    <n v="272"/>
    <n v="57"/>
    <n v="21334"/>
    <n v="46292"/>
    <n v="91"/>
    <x v="0"/>
    <s v="ChillVibes"/>
  </r>
  <r>
    <s v="SP107"/>
    <x v="1"/>
    <d v="2025-01-13T00:00:00"/>
    <x v="0"/>
    <s v="Music that moves youâ€”only on Spotify."/>
    <n v="4090"/>
    <n v="209"/>
    <n v="278"/>
    <n v="52853"/>
    <n v="57084"/>
    <n v="102"/>
    <x v="6"/>
    <s v="IndieWave"/>
  </r>
  <r>
    <s v="SP108"/>
    <x v="2"/>
    <d v="2024-09-07T00:00:00"/>
    <x v="2"/>
    <s v="Music that moves youâ€”only on Spotify."/>
    <n v="3882"/>
    <n v="342"/>
    <n v="374"/>
    <n v="41991"/>
    <n v="48554"/>
    <n v="118"/>
    <x v="7"/>
    <s v="SummerBeats"/>
  </r>
  <r>
    <s v="SP109"/>
    <x v="0"/>
    <d v="2024-11-21T00:00:00"/>
    <x v="0"/>
    <s v="Music that moves youâ€”only on Spotify."/>
    <n v="4581"/>
    <n v="181"/>
    <n v="112"/>
    <n v="35221"/>
    <n v="28797"/>
    <n v="164"/>
    <x v="0"/>
    <s v="ChillVibes"/>
  </r>
  <r>
    <s v="SP110"/>
    <x v="0"/>
    <d v="2024-06-26T00:00:00"/>
    <x v="0"/>
    <s v="New music just dropped. Hit play!"/>
    <n v="3253"/>
    <n v="483"/>
    <n v="336"/>
    <n v="25397"/>
    <n v="51485"/>
    <n v="131"/>
    <x v="1"/>
    <s v="IndieWave"/>
  </r>
  <r>
    <s v="SP111"/>
    <x v="2"/>
    <d v="2024-07-20T00:00:00"/>
    <x v="2"/>
    <s v="Music that moves youâ€”only on Spotify."/>
    <n v="4955"/>
    <n v="299"/>
    <n v="345"/>
    <n v="33644"/>
    <n v="43547"/>
    <n v="194"/>
    <x v="7"/>
    <s v="SummerBeats"/>
  </r>
  <r>
    <s v="SP112"/>
    <x v="0"/>
    <d v="2025-02-16T00:00:00"/>
    <x v="0"/>
    <s v="Your weekend playlist is waiting."/>
    <n v="1333"/>
    <n v="286"/>
    <n v="298"/>
    <n v="36174"/>
    <n v="34517"/>
    <n v="170"/>
    <x v="0"/>
    <s v="ChillVibes"/>
  </r>
  <r>
    <s v="SP113"/>
    <x v="0"/>
    <d v="2024-09-09T00:00:00"/>
    <x v="0"/>
    <s v="New music just dropped. Hit play!"/>
    <n v="1616"/>
    <n v="360"/>
    <n v="180"/>
    <n v="54342"/>
    <n v="18796"/>
    <n v="282"/>
    <x v="0"/>
    <s v="ChillVibes"/>
  </r>
  <r>
    <s v="SP114"/>
    <x v="1"/>
    <d v="2024-07-16T00:00:00"/>
    <x v="0"/>
    <s v="Top trending tracks updated daily!"/>
    <n v="1803"/>
    <n v="273"/>
    <n v="287"/>
    <n v="46176"/>
    <n v="25488"/>
    <n v="141"/>
    <x v="5"/>
    <s v="ChillVibes"/>
  </r>
  <r>
    <s v="SP115"/>
    <x v="0"/>
    <d v="2025-04-15T00:00:00"/>
    <x v="0"/>
    <s v="Explore the latest podcasts now."/>
    <n v="4177"/>
    <n v="489"/>
    <n v="331"/>
    <n v="57451"/>
    <n v="73793"/>
    <n v="251"/>
    <x v="1"/>
    <s v="IndieWave"/>
  </r>
  <r>
    <s v="SP116"/>
    <x v="0"/>
    <d v="2025-05-04T00:00:00"/>
    <x v="1"/>
    <s v="New music just dropped. Hit play!"/>
    <n v="1311"/>
    <n v="181"/>
    <n v="361"/>
    <n v="37148"/>
    <n v="44875"/>
    <n v="245"/>
    <x v="5"/>
    <s v="Wrapped2024"/>
  </r>
  <r>
    <s v="SP117"/>
    <x v="0"/>
    <d v="2024-02-18T00:00:00"/>
    <x v="1"/>
    <s v="From pop to podcasts, itâ€™s all here."/>
    <n v="1516"/>
    <n v="215"/>
    <n v="332"/>
    <n v="58981"/>
    <n v="36118"/>
    <n v="211"/>
    <x v="5"/>
    <s v="Wrapped2024"/>
  </r>
  <r>
    <s v="SP118"/>
    <x v="1"/>
    <d v="2024-05-16T00:00:00"/>
    <x v="1"/>
    <s v="Music that moves youâ€”only on Spotify."/>
    <n v="2023"/>
    <n v="124"/>
    <n v="99"/>
    <n v="54524"/>
    <n v="34790"/>
    <n v="195"/>
    <x v="4"/>
    <s v="ChillVibes"/>
  </r>
  <r>
    <s v="SP119"/>
    <x v="1"/>
    <d v="2025-05-29T00:00:00"/>
    <x v="1"/>
    <s v="Music that moves youâ€”only on Spotify."/>
    <n v="2134"/>
    <n v="322"/>
    <n v="114"/>
    <n v="44338"/>
    <n v="52165"/>
    <n v="176"/>
    <x v="2"/>
    <s v="ChillVibes"/>
  </r>
  <r>
    <s v="SP120"/>
    <x v="0"/>
    <d v="2025-01-17T00:00:00"/>
    <x v="0"/>
    <s v="Top trending tracks updated daily!"/>
    <n v="2266"/>
    <n v="126"/>
    <n v="140"/>
    <n v="53759"/>
    <n v="46834"/>
    <n v="277"/>
    <x v="1"/>
    <s v="IndieWave"/>
  </r>
  <r>
    <s v="SP121"/>
    <x v="0"/>
    <d v="2025-04-30T00:00:00"/>
    <x v="1"/>
    <s v="New music just dropped. Hit play!"/>
    <n v="3916"/>
    <n v="459"/>
    <n v="229"/>
    <n v="48989"/>
    <n v="39768"/>
    <n v="200"/>
    <x v="5"/>
    <s v="Wrapped2024"/>
  </r>
  <r>
    <s v="SP122"/>
    <x v="1"/>
    <d v="2024-02-24T00:00:00"/>
    <x v="1"/>
    <s v="Music that moves youâ€”only on Spotify."/>
    <n v="1022"/>
    <n v="463"/>
    <n v="360"/>
    <n v="51468"/>
    <n v="24279"/>
    <n v="230"/>
    <x v="4"/>
    <s v="ChillVibes"/>
  </r>
  <r>
    <s v="SP123"/>
    <x v="2"/>
    <d v="2024-05-12T00:00:00"/>
    <x v="0"/>
    <s v="From pop to podcasts, itâ€™s all here."/>
    <n v="2911"/>
    <n v="467"/>
    <n v="94"/>
    <n v="59083"/>
    <n v="49762"/>
    <n v="236"/>
    <x v="3"/>
    <s v="IndieWave"/>
  </r>
  <r>
    <s v="SP124"/>
    <x v="1"/>
    <d v="2024-05-09T00:00:00"/>
    <x v="1"/>
    <s v="New music just dropped. Hit play!"/>
    <n v="3277"/>
    <n v="423"/>
    <n v="259"/>
    <n v="46328"/>
    <n v="44293"/>
    <n v="299"/>
    <x v="0"/>
    <s v="ChillVibes"/>
  </r>
  <r>
    <s v="SP125"/>
    <x v="1"/>
    <d v="2024-11-06T00:00:00"/>
    <x v="0"/>
    <s v="From pop to podcasts, itâ€™s all here."/>
    <n v="2956"/>
    <n v="381"/>
    <n v="345"/>
    <n v="33347"/>
    <n v="22558"/>
    <n v="173"/>
    <x v="5"/>
    <s v="ChillVibes"/>
  </r>
  <r>
    <s v="SP126"/>
    <x v="1"/>
    <d v="2024-01-04T00:00:00"/>
    <x v="1"/>
    <s v="Whatâ€™s your vibe today? #SpotifyHits"/>
    <n v="3208"/>
    <n v="476"/>
    <n v="277"/>
    <n v="56072"/>
    <n v="21061"/>
    <n v="113"/>
    <x v="2"/>
    <s v="ChillVibes"/>
  </r>
  <r>
    <s v="SP127"/>
    <x v="1"/>
    <d v="2024-01-28T00:00:00"/>
    <x v="0"/>
    <s v="Music that moves youâ€”only on Spotify."/>
    <n v="1456"/>
    <n v="265"/>
    <n v="137"/>
    <n v="53485"/>
    <n v="59729"/>
    <n v="145"/>
    <x v="6"/>
    <s v="IndieWave"/>
  </r>
  <r>
    <s v="SP128"/>
    <x v="0"/>
    <d v="2024-02-22T00:00:00"/>
    <x v="0"/>
    <s v="New music just dropped. Hit play!"/>
    <n v="1902"/>
    <n v="394"/>
    <n v="279"/>
    <n v="24615"/>
    <n v="51330"/>
    <n v="176"/>
    <x v="0"/>
    <s v="ChillVibes"/>
  </r>
  <r>
    <s v="SP129"/>
    <x v="1"/>
    <d v="2025-07-01T00:00:00"/>
    <x v="1"/>
    <s v="Explore the latest podcasts now."/>
    <n v="3219"/>
    <n v="424"/>
    <n v="267"/>
    <n v="48879"/>
    <n v="37691"/>
    <n v="224"/>
    <x v="4"/>
    <s v="ChillVibes"/>
  </r>
  <r>
    <s v="SP130"/>
    <x v="2"/>
    <d v="2024-01-10T00:00:00"/>
    <x v="0"/>
    <s v="Explore the latest podcasts now."/>
    <n v="1261"/>
    <n v="190"/>
    <n v="233"/>
    <n v="59888"/>
    <n v="51449"/>
    <n v="205"/>
    <x v="3"/>
    <s v="IndieWave"/>
  </r>
  <r>
    <s v="SP131"/>
    <x v="1"/>
    <d v="2025-03-20T00:00:00"/>
    <x v="0"/>
    <s v="Your weekend playlist is waiting."/>
    <n v="1564"/>
    <n v="362"/>
    <n v="371"/>
    <n v="42075"/>
    <n v="66659"/>
    <n v="205"/>
    <x v="6"/>
    <s v="IndieWave"/>
  </r>
  <r>
    <s v="SP132"/>
    <x v="1"/>
    <d v="2024-09-28T00:00:00"/>
    <x v="0"/>
    <s v="Whatâ€™s your vibe today? #SpotifyHits"/>
    <n v="4006"/>
    <n v="420"/>
    <n v="194"/>
    <n v="49964"/>
    <n v="20685"/>
    <n v="148"/>
    <x v="5"/>
    <s v="ChillVibes"/>
  </r>
  <r>
    <s v="SP133"/>
    <x v="2"/>
    <d v="2024-01-27T00:00:00"/>
    <x v="0"/>
    <s v="Your weekend playlist is waiting."/>
    <n v="1976"/>
    <n v="262"/>
    <n v="218"/>
    <n v="51696"/>
    <n v="44846"/>
    <n v="139"/>
    <x v="3"/>
    <s v="IndieWave"/>
  </r>
  <r>
    <s v="SP134"/>
    <x v="1"/>
    <d v="2025-05-15T00:00:00"/>
    <x v="0"/>
    <s v="New music just dropped. Hit play!"/>
    <n v="1583"/>
    <n v="433"/>
    <n v="249"/>
    <n v="30256"/>
    <n v="47066"/>
    <n v="196"/>
    <x v="5"/>
    <s v="ChillVibes"/>
  </r>
  <r>
    <s v="SP135"/>
    <x v="1"/>
    <d v="2024-10-04T00:00:00"/>
    <x v="1"/>
    <s v="Explore the latest podcasts now."/>
    <n v="2870"/>
    <n v="380"/>
    <n v="393"/>
    <n v="37621"/>
    <n v="71794"/>
    <n v="127"/>
    <x v="2"/>
    <s v="ChillVibes"/>
  </r>
  <r>
    <s v="SP136"/>
    <x v="1"/>
    <d v="2024-11-19T00:00:00"/>
    <x v="0"/>
    <s v="Top trending tracks updated daily!"/>
    <n v="3728"/>
    <n v="271"/>
    <n v="275"/>
    <n v="22827"/>
    <n v="37034"/>
    <n v="199"/>
    <x v="5"/>
    <s v="ChillVibes"/>
  </r>
  <r>
    <s v="SP137"/>
    <x v="1"/>
    <d v="2024-04-05T00:00:00"/>
    <x v="1"/>
    <s v="New music just dropped. Hit play!"/>
    <n v="4965"/>
    <n v="175"/>
    <n v="307"/>
    <n v="32793"/>
    <n v="43412"/>
    <n v="296"/>
    <x v="0"/>
    <s v="ChillVibes"/>
  </r>
  <r>
    <s v="SP138"/>
    <x v="1"/>
    <d v="2024-11-28T00:00:00"/>
    <x v="1"/>
    <s v="New music just dropped. Hit play!"/>
    <n v="1131"/>
    <n v="100"/>
    <n v="116"/>
    <n v="48437"/>
    <n v="72704"/>
    <n v="236"/>
    <x v="4"/>
    <s v="ChillVibes"/>
  </r>
  <r>
    <s v="SP139"/>
    <x v="1"/>
    <d v="2025-03-09T00:00:00"/>
    <x v="0"/>
    <s v="Your weekend playlist is waiting."/>
    <n v="2754"/>
    <n v="215"/>
    <n v="264"/>
    <n v="27762"/>
    <n v="70203"/>
    <n v="289"/>
    <x v="5"/>
    <s v="ChillVibes"/>
  </r>
  <r>
    <s v="SP140"/>
    <x v="1"/>
    <d v="2024-08-27T00:00:00"/>
    <x v="1"/>
    <s v="New music just dropped. Hit play!"/>
    <n v="1856"/>
    <n v="357"/>
    <n v="348"/>
    <n v="29428"/>
    <n v="70206"/>
    <n v="236"/>
    <x v="2"/>
    <s v="ChillVibes"/>
  </r>
  <r>
    <s v="SP141"/>
    <x v="2"/>
    <d v="2024-10-01T00:00:00"/>
    <x v="2"/>
    <s v="Explore the latest podcasts now."/>
    <n v="3543"/>
    <n v="334"/>
    <n v="218"/>
    <n v="58007"/>
    <n v="24792"/>
    <n v="273"/>
    <x v="7"/>
    <s v="SummerBeats"/>
  </r>
  <r>
    <s v="SP142"/>
    <x v="0"/>
    <d v="2024-12-21T00:00:00"/>
    <x v="1"/>
    <s v="New music just dropped. Hit play!"/>
    <n v="4563"/>
    <n v="398"/>
    <n v="163"/>
    <n v="43679"/>
    <n v="48760"/>
    <n v="92"/>
    <x v="5"/>
    <s v="Wrapped2024"/>
  </r>
  <r>
    <s v="SP143"/>
    <x v="0"/>
    <d v="2024-06-17T00:00:00"/>
    <x v="0"/>
    <s v="Discover fresh beats on Spotify!"/>
    <n v="4283"/>
    <n v="471"/>
    <n v="156"/>
    <n v="53004"/>
    <n v="25678"/>
    <n v="105"/>
    <x v="1"/>
    <s v="IndieWave"/>
  </r>
  <r>
    <s v="SP144"/>
    <x v="0"/>
    <d v="2025-02-14T00:00:00"/>
    <x v="0"/>
    <s v="Discover fresh beats on Spotify!"/>
    <n v="2329"/>
    <n v="373"/>
    <n v="291"/>
    <n v="49577"/>
    <n v="28002"/>
    <n v="82"/>
    <x v="0"/>
    <s v="ChillVibes"/>
  </r>
  <r>
    <s v="SP145"/>
    <x v="1"/>
    <d v="2025-05-28T00:00:00"/>
    <x v="1"/>
    <s v="Top trending tracks updated daily!"/>
    <n v="4287"/>
    <n v="273"/>
    <n v="122"/>
    <n v="40792"/>
    <n v="23878"/>
    <n v="277"/>
    <x v="2"/>
    <s v="ChillVibes"/>
  </r>
  <r>
    <s v="SP146"/>
    <x v="0"/>
    <d v="2025-05-22T00:00:00"/>
    <x v="0"/>
    <s v="Discover fresh beats on Spotify!"/>
    <n v="2633"/>
    <n v="318"/>
    <n v="380"/>
    <n v="40869"/>
    <n v="64474"/>
    <n v="245"/>
    <x v="1"/>
    <s v="IndieWave"/>
  </r>
  <r>
    <s v="SP147"/>
    <x v="1"/>
    <d v="2024-01-21T00:00:00"/>
    <x v="1"/>
    <s v="Discover fresh beats on Spotify!"/>
    <n v="2383"/>
    <n v="136"/>
    <n v="302"/>
    <n v="39187"/>
    <n v="22133"/>
    <n v="208"/>
    <x v="2"/>
    <s v="ChillVibes"/>
  </r>
  <r>
    <s v="SP148"/>
    <x v="1"/>
    <d v="2025-02-08T00:00:00"/>
    <x v="1"/>
    <s v="Your weekend playlist is waiting."/>
    <n v="4752"/>
    <n v="334"/>
    <n v="56"/>
    <n v="48017"/>
    <n v="55534"/>
    <n v="270"/>
    <x v="4"/>
    <s v="ChillVibes"/>
  </r>
  <r>
    <s v="SP149"/>
    <x v="1"/>
    <d v="2025-04-13T00:00:00"/>
    <x v="0"/>
    <s v="From pop to podcasts, itâ€™s all here."/>
    <n v="3890"/>
    <n v="408"/>
    <n v="338"/>
    <n v="56994"/>
    <n v="32621"/>
    <n v="286"/>
    <x v="6"/>
    <s v="IndieWave"/>
  </r>
  <r>
    <s v="SP150"/>
    <x v="1"/>
    <d v="2024-05-30T00:00:00"/>
    <x v="1"/>
    <s v="Your weekend playlist is waiting."/>
    <n v="2311"/>
    <n v="207"/>
    <n v="363"/>
    <n v="30349"/>
    <n v="32925"/>
    <n v="88"/>
    <x v="2"/>
    <s v="ChillVibes"/>
  </r>
  <r>
    <s v="SP151"/>
    <x v="0"/>
    <d v="2024-08-12T00:00:00"/>
    <x v="1"/>
    <s v="Discover fresh beats on Spotify!"/>
    <n v="2962"/>
    <n v="400"/>
    <n v="280"/>
    <n v="52508"/>
    <n v="58329"/>
    <n v="219"/>
    <x v="5"/>
    <s v="Wrapped2024"/>
  </r>
  <r>
    <s v="SP152"/>
    <x v="0"/>
    <d v="2024-09-27T00:00:00"/>
    <x v="0"/>
    <s v="Discover fresh beats on Spotify!"/>
    <n v="3118"/>
    <n v="116"/>
    <n v="195"/>
    <n v="37100"/>
    <n v="62629"/>
    <n v="272"/>
    <x v="1"/>
    <s v="IndieWave"/>
  </r>
  <r>
    <s v="SP153"/>
    <x v="1"/>
    <d v="2025-06-11T00:00:00"/>
    <x v="1"/>
    <s v="Explore the latest podcasts now."/>
    <n v="3805"/>
    <n v="453"/>
    <n v="63"/>
    <n v="52395"/>
    <n v="72934"/>
    <n v="87"/>
    <x v="4"/>
    <s v="ChillVibes"/>
  </r>
  <r>
    <s v="SP154"/>
    <x v="0"/>
    <d v="2024-11-19T00:00:00"/>
    <x v="0"/>
    <s v="Whatâ€™s your vibe today? #SpotifyHits"/>
    <n v="2525"/>
    <n v="272"/>
    <n v="294"/>
    <n v="51875"/>
    <n v="24732"/>
    <n v="92"/>
    <x v="1"/>
    <s v="IndieWave"/>
  </r>
  <r>
    <s v="SP155"/>
    <x v="0"/>
    <d v="2024-04-25T00:00:00"/>
    <x v="0"/>
    <s v="Music that moves youâ€”only on Spotify."/>
    <n v="3563"/>
    <n v="483"/>
    <n v="227"/>
    <n v="41085"/>
    <n v="26393"/>
    <n v="236"/>
    <x v="0"/>
    <s v="ChillVibes"/>
  </r>
  <r>
    <s v="SP156"/>
    <x v="2"/>
    <d v="2024-09-03T00:00:00"/>
    <x v="2"/>
    <s v="Whatâ€™s your vibe today? #SpotifyHits"/>
    <n v="1437"/>
    <n v="494"/>
    <n v="129"/>
    <n v="53048"/>
    <n v="44090"/>
    <n v="230"/>
    <x v="7"/>
    <s v="SummerBeats"/>
  </r>
  <r>
    <s v="SP157"/>
    <x v="2"/>
    <d v="2025-03-02T00:00:00"/>
    <x v="0"/>
    <s v="From pop to podcasts, itâ€™s all here."/>
    <n v="4425"/>
    <n v="185"/>
    <n v="162"/>
    <n v="24610"/>
    <n v="21342"/>
    <n v="158"/>
    <x v="3"/>
    <s v="IndieWave"/>
  </r>
  <r>
    <s v="SP158"/>
    <x v="1"/>
    <d v="2025-03-21T00:00:00"/>
    <x v="1"/>
    <s v="New music just dropped. Hit play!"/>
    <n v="4609"/>
    <n v="427"/>
    <n v="395"/>
    <n v="33698"/>
    <n v="29259"/>
    <n v="216"/>
    <x v="4"/>
    <s v="ChillVibes"/>
  </r>
  <r>
    <s v="SP159"/>
    <x v="0"/>
    <d v="2024-04-12T00:00:00"/>
    <x v="1"/>
    <s v="Get into the groove with our new drop!"/>
    <n v="1558"/>
    <n v="352"/>
    <n v="202"/>
    <n v="25405"/>
    <n v="69941"/>
    <n v="219"/>
    <x v="5"/>
    <s v="Wrapped2024"/>
  </r>
  <r>
    <s v="SP160"/>
    <x v="2"/>
    <d v="2024-02-08T00:00:00"/>
    <x v="2"/>
    <s v="Top trending tracks updated daily!"/>
    <n v="1889"/>
    <n v="298"/>
    <n v="122"/>
    <n v="46225"/>
    <n v="74305"/>
    <n v="293"/>
    <x v="7"/>
    <s v="SummerBeats"/>
  </r>
  <r>
    <s v="SP161"/>
    <x v="0"/>
    <d v="2025-05-26T00:00:00"/>
    <x v="0"/>
    <s v="Discover fresh beats on Spotify!"/>
    <n v="3086"/>
    <n v="148"/>
    <n v="310"/>
    <n v="22824"/>
    <n v="58103"/>
    <n v="275"/>
    <x v="1"/>
    <s v="IndieWave"/>
  </r>
  <r>
    <s v="SP162"/>
    <x v="0"/>
    <d v="2024-11-14T00:00:00"/>
    <x v="0"/>
    <s v="Music that moves youâ€”only on Spotify."/>
    <n v="2422"/>
    <n v="318"/>
    <n v="118"/>
    <n v="25386"/>
    <n v="20873"/>
    <n v="100"/>
    <x v="0"/>
    <s v="ChillVibes"/>
  </r>
  <r>
    <s v="SP163"/>
    <x v="2"/>
    <d v="2024-08-09T00:00:00"/>
    <x v="2"/>
    <s v="From pop to podcasts, itâ€™s all here."/>
    <n v="3414"/>
    <n v="154"/>
    <n v="204"/>
    <n v="34146"/>
    <n v="44633"/>
    <n v="256"/>
    <x v="7"/>
    <s v="SummerBeats"/>
  </r>
  <r>
    <s v="SP164"/>
    <x v="0"/>
    <d v="2025-06-27T00:00:00"/>
    <x v="1"/>
    <s v="Whatâ€™s your vibe today? #SpotifyHits"/>
    <n v="1342"/>
    <n v="332"/>
    <n v="163"/>
    <n v="51712"/>
    <n v="57922"/>
    <n v="168"/>
    <x v="5"/>
    <s v="Wrapped2024"/>
  </r>
  <r>
    <s v="SP165"/>
    <x v="0"/>
    <d v="2024-05-08T00:00:00"/>
    <x v="1"/>
    <s v="Music that moves youâ€”only on Spotify."/>
    <n v="2414"/>
    <n v="220"/>
    <n v="280"/>
    <n v="27355"/>
    <n v="50562"/>
    <n v="258"/>
    <x v="5"/>
    <s v="Wrapped2024"/>
  </r>
  <r>
    <s v="SP166"/>
    <x v="0"/>
    <d v="2024-04-05T00:00:00"/>
    <x v="0"/>
    <s v="New music just dropped. Hit play!"/>
    <n v="4383"/>
    <n v="352"/>
    <n v="176"/>
    <n v="53239"/>
    <n v="34168"/>
    <n v="288"/>
    <x v="1"/>
    <s v="IndieWave"/>
  </r>
  <r>
    <s v="SP167"/>
    <x v="2"/>
    <d v="2025-01-27T00:00:00"/>
    <x v="0"/>
    <s v="Wrapped is here! Relive your top tracks ðŸŽ§"/>
    <n v="4294"/>
    <n v="423"/>
    <n v="93"/>
    <n v="29828"/>
    <n v="73144"/>
    <n v="298"/>
    <x v="3"/>
    <s v="IndieWave"/>
  </r>
  <r>
    <s v="SP168"/>
    <x v="0"/>
    <d v="2024-04-03T00:00:00"/>
    <x v="0"/>
    <s v="Top trending tracks updated daily!"/>
    <n v="2762"/>
    <n v="339"/>
    <n v="323"/>
    <n v="33757"/>
    <n v="68511"/>
    <n v="121"/>
    <x v="0"/>
    <s v="ChillVibes"/>
  </r>
  <r>
    <s v="SP169"/>
    <x v="2"/>
    <d v="2025-01-03T00:00:00"/>
    <x v="0"/>
    <s v="New music just dropped. Hit play!"/>
    <n v="3782"/>
    <n v="484"/>
    <n v="144"/>
    <n v="52172"/>
    <n v="59386"/>
    <n v="175"/>
    <x v="3"/>
    <s v="IndieWave"/>
  </r>
  <r>
    <s v="SP170"/>
    <x v="1"/>
    <d v="2024-11-23T00:00:00"/>
    <x v="0"/>
    <s v="New music just dropped. Hit play!"/>
    <n v="4318"/>
    <n v="371"/>
    <n v="329"/>
    <n v="32347"/>
    <n v="68956"/>
    <n v="259"/>
    <x v="6"/>
    <s v="IndieWave"/>
  </r>
  <r>
    <s v="SP171"/>
    <x v="0"/>
    <d v="2024-09-01T00:00:00"/>
    <x v="1"/>
    <s v="Wrapped is here! Relive your top tracks ðŸŽ§"/>
    <n v="2335"/>
    <n v="150"/>
    <n v="75"/>
    <n v="26114"/>
    <n v="57549"/>
    <n v="135"/>
    <x v="5"/>
    <s v="Wrapped2024"/>
  </r>
  <r>
    <s v="SP172"/>
    <x v="2"/>
    <d v="2024-04-18T00:00:00"/>
    <x v="0"/>
    <s v="Explore the latest podcasts now."/>
    <n v="4023"/>
    <n v="293"/>
    <n v="91"/>
    <n v="26795"/>
    <n v="28924"/>
    <n v="278"/>
    <x v="3"/>
    <s v="IndieWave"/>
  </r>
  <r>
    <s v="SP173"/>
    <x v="0"/>
    <d v="2024-06-04T00:00:00"/>
    <x v="0"/>
    <s v="Get into the groove with our new drop!"/>
    <n v="3948"/>
    <n v="151"/>
    <n v="249"/>
    <n v="43147"/>
    <n v="63136"/>
    <n v="230"/>
    <x v="1"/>
    <s v="IndieWave"/>
  </r>
  <r>
    <s v="SP174"/>
    <x v="2"/>
    <d v="2025-04-02T00:00:00"/>
    <x v="0"/>
    <s v="Wrapped is here! Relive your top tracks ðŸŽ§"/>
    <n v="4598"/>
    <n v="455"/>
    <n v="378"/>
    <n v="52952"/>
    <n v="58504"/>
    <n v="269"/>
    <x v="3"/>
    <s v="IndieWave"/>
  </r>
  <r>
    <s v="SP175"/>
    <x v="1"/>
    <d v="2025-04-01T00:00:00"/>
    <x v="1"/>
    <s v="Music that moves youâ€”only on Spotify."/>
    <n v="2665"/>
    <n v="143"/>
    <n v="315"/>
    <n v="54808"/>
    <n v="29818"/>
    <n v="98"/>
    <x v="4"/>
    <s v="ChillVibes"/>
  </r>
  <r>
    <s v="SP176"/>
    <x v="0"/>
    <d v="2024-07-02T00:00:00"/>
    <x v="0"/>
    <s v="Top trending tracks updated daily!"/>
    <n v="3469"/>
    <n v="371"/>
    <n v="76"/>
    <n v="46493"/>
    <n v="26906"/>
    <n v="150"/>
    <x v="0"/>
    <s v="ChillVibes"/>
  </r>
  <r>
    <s v="SP177"/>
    <x v="1"/>
    <d v="2024-11-10T00:00:00"/>
    <x v="0"/>
    <s v="Explore the latest podcasts now."/>
    <n v="4823"/>
    <n v="489"/>
    <n v="302"/>
    <n v="32470"/>
    <n v="31861"/>
    <n v="178"/>
    <x v="6"/>
    <s v="IndieWave"/>
  </r>
  <r>
    <s v="SP178"/>
    <x v="0"/>
    <d v="2024-12-14T00:00:00"/>
    <x v="1"/>
    <s v="From pop to podcasts, itâ€™s all here."/>
    <n v="3812"/>
    <n v="321"/>
    <n v="289"/>
    <n v="59838"/>
    <n v="36337"/>
    <n v="161"/>
    <x v="5"/>
    <s v="Wrapped2024"/>
  </r>
  <r>
    <s v="SP179"/>
    <x v="1"/>
    <d v="2024-11-19T00:00:00"/>
    <x v="0"/>
    <s v="Explore the latest podcasts now."/>
    <n v="2387"/>
    <n v="353"/>
    <n v="78"/>
    <n v="39745"/>
    <n v="69226"/>
    <n v="208"/>
    <x v="6"/>
    <s v="IndieWave"/>
  </r>
  <r>
    <s v="SP180"/>
    <x v="1"/>
    <d v="2025-04-30T00:00:00"/>
    <x v="1"/>
    <s v="Wrapped is here! Relive your top tracks ðŸŽ§"/>
    <n v="3929"/>
    <n v="275"/>
    <n v="330"/>
    <n v="58329"/>
    <n v="33196"/>
    <n v="85"/>
    <x v="2"/>
    <s v="ChillVibes"/>
  </r>
  <r>
    <s v="SP181"/>
    <x v="1"/>
    <d v="2024-03-19T00:00:00"/>
    <x v="0"/>
    <s v="From pop to podcasts, itâ€™s all here."/>
    <n v="2191"/>
    <n v="288"/>
    <n v="83"/>
    <n v="59606"/>
    <n v="24765"/>
    <n v="281"/>
    <x v="6"/>
    <s v="IndieWave"/>
  </r>
  <r>
    <s v="SP182"/>
    <x v="0"/>
    <d v="2024-03-19T00:00:00"/>
    <x v="0"/>
    <s v="From pop to podcasts, itâ€™s all here."/>
    <n v="2878"/>
    <n v="278"/>
    <n v="255"/>
    <n v="47235"/>
    <n v="57922"/>
    <n v="112"/>
    <x v="0"/>
    <s v="ChillVibes"/>
  </r>
  <r>
    <s v="SP183"/>
    <x v="1"/>
    <d v="2024-07-23T00:00:00"/>
    <x v="0"/>
    <s v="Top trending tracks updated daily!"/>
    <n v="3204"/>
    <n v="398"/>
    <n v="85"/>
    <n v="22020"/>
    <n v="58353"/>
    <n v="286"/>
    <x v="6"/>
    <s v="IndieWave"/>
  </r>
  <r>
    <s v="SP184"/>
    <x v="1"/>
    <d v="2024-07-13T00:00:00"/>
    <x v="1"/>
    <s v="Get into the groove with our new drop!"/>
    <n v="2408"/>
    <n v="323"/>
    <n v="251"/>
    <n v="47599"/>
    <n v="35543"/>
    <n v="287"/>
    <x v="2"/>
    <s v="ChillVibes"/>
  </r>
  <r>
    <s v="SP185"/>
    <x v="2"/>
    <d v="2025-04-22T00:00:00"/>
    <x v="2"/>
    <s v="New music just dropped. Hit play!"/>
    <n v="2733"/>
    <n v="297"/>
    <n v="235"/>
    <n v="37980"/>
    <n v="33058"/>
    <n v="219"/>
    <x v="7"/>
    <s v="SummerBeats"/>
  </r>
  <r>
    <s v="SP186"/>
    <x v="1"/>
    <d v="2024-06-16T00:00:00"/>
    <x v="1"/>
    <s v="Explore the latest podcasts now."/>
    <n v="4618"/>
    <n v="312"/>
    <n v="254"/>
    <n v="22571"/>
    <n v="29453"/>
    <n v="197"/>
    <x v="2"/>
    <s v="ChillVibes"/>
  </r>
  <r>
    <s v="SP187"/>
    <x v="2"/>
    <d v="2025-05-18T00:00:00"/>
    <x v="2"/>
    <s v="Wrapped is here! Relive your top tracks ðŸŽ§"/>
    <n v="4210"/>
    <n v="319"/>
    <n v="350"/>
    <n v="37762"/>
    <n v="55162"/>
    <n v="204"/>
    <x v="7"/>
    <s v="SummerBeats"/>
  </r>
  <r>
    <s v="SP188"/>
    <x v="0"/>
    <d v="2025-06-06T00:00:00"/>
    <x v="0"/>
    <s v="Wrapped is here! Relive your top tracks ðŸŽ§"/>
    <n v="3987"/>
    <n v="171"/>
    <n v="274"/>
    <n v="45122"/>
    <n v="65431"/>
    <n v="168"/>
    <x v="1"/>
    <s v="IndieWave"/>
  </r>
  <r>
    <s v="SP189"/>
    <x v="2"/>
    <d v="2025-02-20T00:00:00"/>
    <x v="2"/>
    <s v="Get into the groove with our new drop!"/>
    <n v="4957"/>
    <n v="262"/>
    <n v="365"/>
    <n v="49199"/>
    <n v="40314"/>
    <n v="216"/>
    <x v="7"/>
    <s v="SummerBeats"/>
  </r>
  <r>
    <s v="SP190"/>
    <x v="0"/>
    <d v="2025-01-16T00:00:00"/>
    <x v="0"/>
    <s v="Music that moves youâ€”only on Spotify."/>
    <n v="2605"/>
    <n v="282"/>
    <n v="148"/>
    <n v="32201"/>
    <n v="49583"/>
    <n v="241"/>
    <x v="0"/>
    <s v="ChillVibes"/>
  </r>
  <r>
    <s v="SP191"/>
    <x v="2"/>
    <d v="2024-02-24T00:00:00"/>
    <x v="2"/>
    <s v="Discover fresh beats on Spotify!"/>
    <n v="4221"/>
    <n v="307"/>
    <n v="58"/>
    <n v="45080"/>
    <n v="37214"/>
    <n v="240"/>
    <x v="7"/>
    <s v="SummerBeats"/>
  </r>
  <r>
    <s v="SP192"/>
    <x v="1"/>
    <d v="2024-09-16T00:00:00"/>
    <x v="1"/>
    <s v="Whatâ€™s your vibe today? #SpotifyHits"/>
    <n v="4422"/>
    <n v="434"/>
    <n v="156"/>
    <n v="56165"/>
    <n v="52431"/>
    <n v="173"/>
    <x v="4"/>
    <s v="ChillVibes"/>
  </r>
  <r>
    <s v="SP193"/>
    <x v="2"/>
    <d v="2024-06-04T00:00:00"/>
    <x v="2"/>
    <s v="Wrapped is here! Relive your top tracks ðŸŽ§"/>
    <n v="1211"/>
    <n v="431"/>
    <n v="83"/>
    <n v="26532"/>
    <n v="47305"/>
    <n v="232"/>
    <x v="7"/>
    <s v="SummerBeats"/>
  </r>
  <r>
    <s v="SP194"/>
    <x v="1"/>
    <d v="2024-05-10T00:00:00"/>
    <x v="1"/>
    <s v="Explore the latest podcasts now."/>
    <n v="2784"/>
    <n v="111"/>
    <n v="399"/>
    <n v="58366"/>
    <n v="69512"/>
    <n v="269"/>
    <x v="2"/>
    <s v="ChillVibes"/>
  </r>
  <r>
    <s v="SP195"/>
    <x v="2"/>
    <d v="2024-01-14T00:00:00"/>
    <x v="0"/>
    <s v="New music just dropped. Hit play!"/>
    <n v="3634"/>
    <n v="280"/>
    <n v="399"/>
    <n v="40256"/>
    <n v="52605"/>
    <n v="213"/>
    <x v="3"/>
    <s v="IndieWave"/>
  </r>
  <r>
    <s v="SP196"/>
    <x v="0"/>
    <d v="2025-01-12T00:00:00"/>
    <x v="0"/>
    <s v="From pop to podcasts, itâ€™s all here."/>
    <n v="1771"/>
    <n v="487"/>
    <n v="272"/>
    <n v="48810"/>
    <n v="48084"/>
    <n v="272"/>
    <x v="0"/>
    <s v="ChillVibes"/>
  </r>
  <r>
    <s v="SP197"/>
    <x v="2"/>
    <d v="2024-12-08T00:00:00"/>
    <x v="0"/>
    <s v="Top trending tracks updated daily!"/>
    <n v="1424"/>
    <n v="396"/>
    <n v="312"/>
    <n v="59517"/>
    <n v="46102"/>
    <n v="239"/>
    <x v="3"/>
    <s v="IndieWave"/>
  </r>
  <r>
    <s v="SP198"/>
    <x v="1"/>
    <d v="2025-02-01T00:00:00"/>
    <x v="1"/>
    <s v="Top trending tracks updated daily!"/>
    <n v="1079"/>
    <n v="265"/>
    <n v="190"/>
    <n v="43786"/>
    <n v="72428"/>
    <n v="222"/>
    <x v="0"/>
    <s v="ChillVibes"/>
  </r>
  <r>
    <s v="SP199"/>
    <x v="1"/>
    <d v="2024-07-11T00:00:00"/>
    <x v="1"/>
    <s v="Get into the groove with our new drop!"/>
    <n v="4247"/>
    <n v="179"/>
    <n v="175"/>
    <n v="32991"/>
    <n v="70120"/>
    <n v="276"/>
    <x v="0"/>
    <s v="ChillVibes"/>
  </r>
  <r>
    <s v="SP200"/>
    <x v="1"/>
    <d v="2024-03-18T00:00:00"/>
    <x v="0"/>
    <s v="New music just dropped. Hit play!"/>
    <n v="2033"/>
    <n v="420"/>
    <n v="94"/>
    <n v="56290"/>
    <n v="57391"/>
    <n v="196"/>
    <x v="5"/>
    <s v="ChillVibes"/>
  </r>
  <r>
    <s v="SP201"/>
    <x v="1"/>
    <d v="2024-09-12T00:00:00"/>
    <x v="1"/>
    <s v="Wrapped is here! Relive your top tracks ðŸŽ§"/>
    <n v="1839"/>
    <n v="223"/>
    <n v="171"/>
    <n v="35459"/>
    <n v="69988"/>
    <n v="114"/>
    <x v="2"/>
    <s v="ChillVibes"/>
  </r>
  <r>
    <s v="SP202"/>
    <x v="1"/>
    <d v="2024-01-11T00:00:00"/>
    <x v="1"/>
    <s v="Wrapped is here! Relive your top tracks ðŸŽ§"/>
    <n v="2340"/>
    <n v="141"/>
    <n v="206"/>
    <n v="24916"/>
    <n v="30582"/>
    <n v="157"/>
    <x v="0"/>
    <s v="ChillVibes"/>
  </r>
  <r>
    <s v="SP203"/>
    <x v="0"/>
    <d v="2024-10-06T00:00:00"/>
    <x v="0"/>
    <s v="Top trending tracks updated daily!"/>
    <n v="2080"/>
    <n v="389"/>
    <n v="92"/>
    <n v="30971"/>
    <n v="25347"/>
    <n v="111"/>
    <x v="1"/>
    <s v="IndieWave"/>
  </r>
  <r>
    <s v="SP204"/>
    <x v="1"/>
    <d v="2024-12-30T00:00:00"/>
    <x v="0"/>
    <s v="Get into the groove with our new drop!"/>
    <n v="4214"/>
    <n v="286"/>
    <n v="127"/>
    <n v="47293"/>
    <n v="27184"/>
    <n v="232"/>
    <x v="5"/>
    <s v="ChillVibes"/>
  </r>
  <r>
    <s v="SP205"/>
    <x v="1"/>
    <d v="2025-04-16T00:00:00"/>
    <x v="0"/>
    <s v="Wrapped is here! Relive your top tracks ðŸŽ§"/>
    <n v="3792"/>
    <n v="315"/>
    <n v="120"/>
    <n v="54592"/>
    <n v="67886"/>
    <n v="117"/>
    <x v="6"/>
    <s v="IndieWave"/>
  </r>
  <r>
    <s v="SP206"/>
    <x v="1"/>
    <d v="2024-08-21T00:00:00"/>
    <x v="1"/>
    <s v="Explore the latest podcasts now."/>
    <n v="3989"/>
    <n v="476"/>
    <n v="128"/>
    <n v="57569"/>
    <n v="40193"/>
    <n v="222"/>
    <x v="4"/>
    <s v="ChillVibes"/>
  </r>
  <r>
    <s v="SP207"/>
    <x v="1"/>
    <d v="2024-04-05T00:00:00"/>
    <x v="1"/>
    <s v="Wrapped is here! Relive your top tracks ðŸŽ§"/>
    <n v="2857"/>
    <n v="443"/>
    <n v="359"/>
    <n v="51519"/>
    <n v="28256"/>
    <n v="155"/>
    <x v="0"/>
    <s v="ChillVibes"/>
  </r>
  <r>
    <s v="SP208"/>
    <x v="1"/>
    <d v="2025-04-07T00:00:00"/>
    <x v="0"/>
    <s v="From pop to podcasts, itâ€™s all here."/>
    <n v="1403"/>
    <n v="385"/>
    <n v="344"/>
    <n v="54223"/>
    <n v="72595"/>
    <n v="239"/>
    <x v="6"/>
    <s v="IndieWave"/>
  </r>
  <r>
    <s v="SP209"/>
    <x v="1"/>
    <d v="2024-07-19T00:00:00"/>
    <x v="1"/>
    <s v="Whatâ€™s your vibe today? #SpotifyHits"/>
    <n v="3071"/>
    <n v="126"/>
    <n v="200"/>
    <n v="44013"/>
    <n v="44679"/>
    <n v="118"/>
    <x v="4"/>
    <s v="ChillVibes"/>
  </r>
  <r>
    <s v="SP210"/>
    <x v="1"/>
    <d v="2025-05-03T00:00:00"/>
    <x v="1"/>
    <s v="Top trending tracks updated daily!"/>
    <n v="1010"/>
    <n v="361"/>
    <n v="240"/>
    <n v="47229"/>
    <n v="72573"/>
    <n v="275"/>
    <x v="0"/>
    <s v="ChillVibes"/>
  </r>
  <r>
    <s v="SP211"/>
    <x v="1"/>
    <d v="2024-04-14T00:00:00"/>
    <x v="1"/>
    <s v="Discover fresh beats on Spotify!"/>
    <n v="1295"/>
    <n v="153"/>
    <n v="81"/>
    <n v="48350"/>
    <n v="61033"/>
    <n v="232"/>
    <x v="4"/>
    <s v="ChillVibes"/>
  </r>
  <r>
    <s v="SP212"/>
    <x v="1"/>
    <d v="2025-06-19T00:00:00"/>
    <x v="1"/>
    <s v="Whatâ€™s your vibe today? #SpotifyHits"/>
    <n v="1433"/>
    <n v="452"/>
    <n v="305"/>
    <n v="54541"/>
    <n v="63700"/>
    <n v="296"/>
    <x v="4"/>
    <s v="ChillVibes"/>
  </r>
  <r>
    <s v="SP213"/>
    <x v="0"/>
    <d v="2025-06-24T00:00:00"/>
    <x v="1"/>
    <s v="Get into the groove with our new drop!"/>
    <n v="4902"/>
    <n v="422"/>
    <n v="376"/>
    <n v="31674"/>
    <n v="53225"/>
    <n v="147"/>
    <x v="5"/>
    <s v="Wrapped2024"/>
  </r>
  <r>
    <s v="SP214"/>
    <x v="1"/>
    <d v="2024-10-09T00:00:00"/>
    <x v="0"/>
    <s v="Wrapped is here! Relive your top tracks ðŸŽ§"/>
    <n v="2659"/>
    <n v="167"/>
    <n v="73"/>
    <n v="23090"/>
    <n v="25872"/>
    <n v="293"/>
    <x v="6"/>
    <s v="IndieWave"/>
  </r>
  <r>
    <s v="SP215"/>
    <x v="2"/>
    <d v="2025-01-15T00:00:00"/>
    <x v="0"/>
    <s v="Your weekend playlist is waiting."/>
    <n v="2599"/>
    <n v="324"/>
    <n v="182"/>
    <n v="37525"/>
    <n v="37216"/>
    <n v="186"/>
    <x v="3"/>
    <s v="IndieWave"/>
  </r>
  <r>
    <s v="SP216"/>
    <x v="1"/>
    <d v="2025-01-12T00:00:00"/>
    <x v="0"/>
    <s v="Music that moves youâ€”only on Spotify."/>
    <n v="1765"/>
    <n v="285"/>
    <n v="100"/>
    <n v="41313"/>
    <n v="56575"/>
    <n v="174"/>
    <x v="6"/>
    <s v="IndieWave"/>
  </r>
  <r>
    <s v="SP217"/>
    <x v="0"/>
    <d v="2025-05-31T00:00:00"/>
    <x v="0"/>
    <s v="Whatâ€™s your vibe today? #SpotifyHits"/>
    <n v="2169"/>
    <n v="240"/>
    <n v="57"/>
    <n v="26109"/>
    <n v="46667"/>
    <n v="133"/>
    <x v="0"/>
    <s v="ChillVibes"/>
  </r>
  <r>
    <s v="SP218"/>
    <x v="1"/>
    <d v="2024-10-14T00:00:00"/>
    <x v="1"/>
    <s v="Explore the latest podcasts now."/>
    <n v="4303"/>
    <n v="306"/>
    <n v="302"/>
    <n v="39575"/>
    <n v="33762"/>
    <n v="265"/>
    <x v="4"/>
    <s v="ChillVibes"/>
  </r>
  <r>
    <s v="SP219"/>
    <x v="1"/>
    <d v="2024-02-10T00:00:00"/>
    <x v="0"/>
    <s v="From pop to podcasts, itâ€™s all here."/>
    <n v="1519"/>
    <n v="456"/>
    <n v="379"/>
    <n v="51611"/>
    <n v="45880"/>
    <n v="176"/>
    <x v="6"/>
    <s v="IndieWave"/>
  </r>
  <r>
    <s v="SP220"/>
    <x v="2"/>
    <d v="2024-12-10T00:00:00"/>
    <x v="0"/>
    <s v="Whatâ€™s your vibe today? #SpotifyHits"/>
    <n v="2569"/>
    <n v="140"/>
    <n v="375"/>
    <n v="38372"/>
    <n v="22102"/>
    <n v="255"/>
    <x v="3"/>
    <s v="IndieWave"/>
  </r>
  <r>
    <s v="SP221"/>
    <x v="1"/>
    <d v="2025-05-09T00:00:00"/>
    <x v="1"/>
    <s v="Music that moves youâ€”only on Spotify."/>
    <n v="2778"/>
    <n v="241"/>
    <n v="317"/>
    <n v="26247"/>
    <n v="20677"/>
    <n v="282"/>
    <x v="2"/>
    <s v="ChillVibes"/>
  </r>
  <r>
    <s v="SP222"/>
    <x v="1"/>
    <d v="2025-06-21T00:00:00"/>
    <x v="0"/>
    <s v="Explore the latest podcasts now."/>
    <n v="3611"/>
    <n v="127"/>
    <n v="139"/>
    <n v="44768"/>
    <n v="29435"/>
    <n v="178"/>
    <x v="5"/>
    <s v="ChillVibes"/>
  </r>
  <r>
    <s v="SP223"/>
    <x v="1"/>
    <d v="2024-06-19T00:00:00"/>
    <x v="0"/>
    <s v="Whatâ€™s your vibe today? #SpotifyHits"/>
    <n v="1224"/>
    <n v="168"/>
    <n v="199"/>
    <n v="54232"/>
    <n v="52844"/>
    <n v="271"/>
    <x v="6"/>
    <s v="IndieWave"/>
  </r>
  <r>
    <s v="SP224"/>
    <x v="1"/>
    <d v="2024-12-10T00:00:00"/>
    <x v="0"/>
    <s v="From pop to podcasts, itâ€™s all here."/>
    <n v="4673"/>
    <n v="270"/>
    <n v="93"/>
    <n v="45260"/>
    <n v="57513"/>
    <n v="103"/>
    <x v="5"/>
    <s v="ChillVibes"/>
  </r>
  <r>
    <s v="SP225"/>
    <x v="2"/>
    <d v="2024-02-01T00:00:00"/>
    <x v="0"/>
    <s v="Wrapped is here! Relive your top tracks ðŸŽ§"/>
    <n v="1432"/>
    <n v="437"/>
    <n v="267"/>
    <n v="40634"/>
    <n v="54511"/>
    <n v="197"/>
    <x v="3"/>
    <s v="IndieWave"/>
  </r>
  <r>
    <s v="SP226"/>
    <x v="1"/>
    <d v="2024-01-17T00:00:00"/>
    <x v="1"/>
    <s v="New music just dropped. Hit play!"/>
    <n v="2174"/>
    <n v="499"/>
    <n v="212"/>
    <n v="54938"/>
    <n v="27190"/>
    <n v="265"/>
    <x v="2"/>
    <s v="ChillVibes"/>
  </r>
  <r>
    <s v="SP227"/>
    <x v="2"/>
    <d v="2025-03-22T00:00:00"/>
    <x v="0"/>
    <s v="Music that moves youâ€”only on Spotify."/>
    <n v="4308"/>
    <n v="171"/>
    <n v="106"/>
    <n v="36955"/>
    <n v="23949"/>
    <n v="294"/>
    <x v="3"/>
    <s v="IndieWave"/>
  </r>
  <r>
    <s v="SP228"/>
    <x v="2"/>
    <d v="2024-05-30T00:00:00"/>
    <x v="2"/>
    <s v="Whatâ€™s your vibe today? #SpotifyHits"/>
    <n v="1060"/>
    <n v="442"/>
    <n v="319"/>
    <n v="57194"/>
    <n v="24258"/>
    <n v="101"/>
    <x v="7"/>
    <s v="SummerBeats"/>
  </r>
  <r>
    <s v="SP229"/>
    <x v="2"/>
    <d v="2024-02-24T00:00:00"/>
    <x v="0"/>
    <s v="Music that moves youâ€”only on Spotify."/>
    <n v="4653"/>
    <n v="226"/>
    <n v="349"/>
    <n v="56876"/>
    <n v="28452"/>
    <n v="257"/>
    <x v="3"/>
    <s v="IndieWave"/>
  </r>
  <r>
    <s v="SP230"/>
    <x v="2"/>
    <d v="2025-05-14T00:00:00"/>
    <x v="0"/>
    <s v="Discover fresh beats on Spotify!"/>
    <n v="1701"/>
    <n v="272"/>
    <n v="385"/>
    <n v="47496"/>
    <n v="40832"/>
    <n v="246"/>
    <x v="3"/>
    <s v="IndieWave"/>
  </r>
  <r>
    <s v="SP231"/>
    <x v="0"/>
    <d v="2024-03-28T00:00:00"/>
    <x v="0"/>
    <s v="Whatâ€™s your vibe today? #SpotifyHits"/>
    <n v="1673"/>
    <n v="280"/>
    <n v="67"/>
    <n v="29847"/>
    <n v="48016"/>
    <n v="213"/>
    <x v="0"/>
    <s v="ChillVibes"/>
  </r>
  <r>
    <s v="SP232"/>
    <x v="2"/>
    <d v="2025-03-07T00:00:00"/>
    <x v="0"/>
    <s v="Top trending tracks updated daily!"/>
    <n v="4310"/>
    <n v="284"/>
    <n v="306"/>
    <n v="44606"/>
    <n v="42604"/>
    <n v="290"/>
    <x v="3"/>
    <s v="IndieWave"/>
  </r>
  <r>
    <s v="SP233"/>
    <x v="1"/>
    <d v="2024-10-20T00:00:00"/>
    <x v="0"/>
    <s v="From pop to podcasts, itâ€™s all here."/>
    <n v="2752"/>
    <n v="309"/>
    <n v="91"/>
    <n v="39038"/>
    <n v="28095"/>
    <n v="277"/>
    <x v="5"/>
    <s v="ChillVibes"/>
  </r>
  <r>
    <s v="SP234"/>
    <x v="1"/>
    <d v="2024-02-02T00:00:00"/>
    <x v="0"/>
    <s v="From pop to podcasts, itâ€™s all here."/>
    <n v="3818"/>
    <n v="115"/>
    <n v="286"/>
    <n v="25127"/>
    <n v="22277"/>
    <n v="263"/>
    <x v="5"/>
    <s v="ChillVibes"/>
  </r>
  <r>
    <s v="SP235"/>
    <x v="2"/>
    <d v="2024-09-07T00:00:00"/>
    <x v="0"/>
    <s v="Your weekend playlist is waiting."/>
    <n v="2101"/>
    <n v="411"/>
    <n v="190"/>
    <n v="41791"/>
    <n v="57090"/>
    <n v="172"/>
    <x v="3"/>
    <s v="IndieWave"/>
  </r>
  <r>
    <s v="SP236"/>
    <x v="0"/>
    <d v="2024-12-20T00:00:00"/>
    <x v="0"/>
    <s v="Discover fresh beats on Spotify!"/>
    <n v="2519"/>
    <n v="202"/>
    <n v="239"/>
    <n v="36245"/>
    <n v="48606"/>
    <n v="145"/>
    <x v="1"/>
    <s v="IndieWave"/>
  </r>
  <r>
    <s v="SP237"/>
    <x v="2"/>
    <d v="2024-01-14T00:00:00"/>
    <x v="0"/>
    <s v="Whatâ€™s your vibe today? #SpotifyHits"/>
    <n v="4502"/>
    <n v="238"/>
    <n v="386"/>
    <n v="39198"/>
    <n v="25050"/>
    <n v="297"/>
    <x v="3"/>
    <s v="IndieWave"/>
  </r>
  <r>
    <s v="SP238"/>
    <x v="0"/>
    <d v="2025-06-15T00:00:00"/>
    <x v="0"/>
    <s v="Explore the latest podcasts now."/>
    <n v="2478"/>
    <n v="427"/>
    <n v="242"/>
    <n v="59272"/>
    <n v="37833"/>
    <n v="214"/>
    <x v="0"/>
    <s v="ChillVibes"/>
  </r>
  <r>
    <s v="SP239"/>
    <x v="1"/>
    <d v="2024-12-13T00:00:00"/>
    <x v="1"/>
    <s v="New music just dropped. Hit play!"/>
    <n v="4984"/>
    <n v="300"/>
    <n v="338"/>
    <n v="32900"/>
    <n v="31691"/>
    <n v="160"/>
    <x v="2"/>
    <s v="ChillVibes"/>
  </r>
  <r>
    <s v="SP240"/>
    <x v="2"/>
    <d v="2024-08-29T00:00:00"/>
    <x v="0"/>
    <s v="Wrapped is here! Relive your top tracks ðŸŽ§"/>
    <n v="4774"/>
    <n v="389"/>
    <n v="358"/>
    <n v="52346"/>
    <n v="30518"/>
    <n v="277"/>
    <x v="3"/>
    <s v="IndieWave"/>
  </r>
  <r>
    <s v="SP241"/>
    <x v="1"/>
    <d v="2024-09-15T00:00:00"/>
    <x v="0"/>
    <s v="Get into the groove with our new drop!"/>
    <n v="2145"/>
    <n v="340"/>
    <n v="85"/>
    <n v="53323"/>
    <n v="49938"/>
    <n v="104"/>
    <x v="5"/>
    <s v="ChillVibes"/>
  </r>
  <r>
    <s v="SP242"/>
    <x v="1"/>
    <d v="2025-04-12T00:00:00"/>
    <x v="1"/>
    <s v="From pop to podcasts, itâ€™s all here."/>
    <n v="4315"/>
    <n v="208"/>
    <n v="273"/>
    <n v="35780"/>
    <n v="44349"/>
    <n v="133"/>
    <x v="4"/>
    <s v="ChillVibes"/>
  </r>
  <r>
    <s v="SP243"/>
    <x v="1"/>
    <d v="2024-12-10T00:00:00"/>
    <x v="1"/>
    <s v="Wrapped is here! Relive your top tracks ðŸŽ§"/>
    <n v="2267"/>
    <n v="230"/>
    <n v="243"/>
    <n v="27904"/>
    <n v="69771"/>
    <n v="255"/>
    <x v="4"/>
    <s v="ChillVibes"/>
  </r>
  <r>
    <s v="SP244"/>
    <x v="2"/>
    <d v="2025-06-08T00:00:00"/>
    <x v="0"/>
    <s v="Music that moves youâ€”only on Spotify."/>
    <n v="4375"/>
    <n v="303"/>
    <n v="294"/>
    <n v="57468"/>
    <n v="53397"/>
    <n v="159"/>
    <x v="3"/>
    <s v="IndieWave"/>
  </r>
  <r>
    <s v="SP245"/>
    <x v="1"/>
    <d v="2025-01-09T00:00:00"/>
    <x v="1"/>
    <s v="Your weekend playlist is waiting."/>
    <n v="3817"/>
    <n v="284"/>
    <n v="204"/>
    <n v="46434"/>
    <n v="53396"/>
    <n v="104"/>
    <x v="2"/>
    <s v="ChillVibes"/>
  </r>
  <r>
    <s v="SP246"/>
    <x v="1"/>
    <d v="2024-07-08T00:00:00"/>
    <x v="1"/>
    <s v="Top trending tracks updated daily!"/>
    <n v="2981"/>
    <n v="258"/>
    <n v="168"/>
    <n v="20677"/>
    <n v="68290"/>
    <n v="130"/>
    <x v="0"/>
    <s v="ChillVibes"/>
  </r>
  <r>
    <s v="SP247"/>
    <x v="1"/>
    <d v="2024-09-16T00:00:00"/>
    <x v="1"/>
    <s v="Your weekend playlist is waiting."/>
    <n v="3300"/>
    <n v="354"/>
    <n v="397"/>
    <n v="56773"/>
    <n v="72110"/>
    <n v="163"/>
    <x v="4"/>
    <s v="ChillVibes"/>
  </r>
  <r>
    <s v="SP248"/>
    <x v="2"/>
    <d v="2024-06-14T00:00:00"/>
    <x v="2"/>
    <s v="Wrapped is here! Relive your top tracks ðŸŽ§"/>
    <n v="4722"/>
    <n v="310"/>
    <n v="344"/>
    <n v="27911"/>
    <n v="19000"/>
    <n v="225"/>
    <x v="7"/>
    <s v="SummerBeats"/>
  </r>
  <r>
    <s v="SP249"/>
    <x v="0"/>
    <d v="2024-03-06T00:00:00"/>
    <x v="0"/>
    <s v="Whatâ€™s your vibe today? #SpotifyHits"/>
    <n v="3529"/>
    <n v="263"/>
    <n v="107"/>
    <n v="26570"/>
    <n v="19367"/>
    <n v="96"/>
    <x v="1"/>
    <s v="IndieWave"/>
  </r>
  <r>
    <s v="SP250"/>
    <x v="1"/>
    <d v="2025-05-15T00:00:00"/>
    <x v="0"/>
    <s v="Your weekend playlist is waiting."/>
    <n v="4782"/>
    <n v="210"/>
    <n v="311"/>
    <n v="29793"/>
    <n v="37543"/>
    <n v="145"/>
    <x v="5"/>
    <s v="ChillVibes"/>
  </r>
  <r>
    <s v="SP251"/>
    <x v="1"/>
    <d v="2024-07-07T00:00:00"/>
    <x v="0"/>
    <s v="Whatâ€™s your vibe today? #SpotifyHits"/>
    <n v="1848"/>
    <n v="417"/>
    <n v="294"/>
    <n v="57819"/>
    <n v="19798"/>
    <n v="262"/>
    <x v="6"/>
    <s v="IndieWave"/>
  </r>
  <r>
    <s v="SP252"/>
    <x v="2"/>
    <d v="2024-10-26T00:00:00"/>
    <x v="0"/>
    <s v="New music just dropped. Hit play!"/>
    <n v="4676"/>
    <n v="211"/>
    <n v="55"/>
    <n v="45917"/>
    <n v="73503"/>
    <n v="248"/>
    <x v="3"/>
    <s v="IndieWave"/>
  </r>
  <r>
    <s v="SP253"/>
    <x v="2"/>
    <d v="2024-08-08T00:00:00"/>
    <x v="0"/>
    <s v="From pop to podcasts, itâ€™s all here."/>
    <n v="1994"/>
    <n v="197"/>
    <n v="290"/>
    <n v="49500"/>
    <n v="23343"/>
    <n v="160"/>
    <x v="3"/>
    <s v="IndieWave"/>
  </r>
  <r>
    <s v="SP254"/>
    <x v="1"/>
    <d v="2025-02-03T00:00:00"/>
    <x v="0"/>
    <s v="Whatâ€™s your vibe today? #SpotifyHits"/>
    <n v="4995"/>
    <n v="231"/>
    <n v="94"/>
    <n v="34431"/>
    <n v="32560"/>
    <n v="262"/>
    <x v="5"/>
    <s v="ChillVibes"/>
  </r>
  <r>
    <s v="SP255"/>
    <x v="1"/>
    <d v="2024-04-03T00:00:00"/>
    <x v="1"/>
    <s v="Top trending tracks updated daily!"/>
    <n v="2291"/>
    <n v="146"/>
    <n v="399"/>
    <n v="49319"/>
    <n v="28056"/>
    <n v="90"/>
    <x v="4"/>
    <s v="ChillVibes"/>
  </r>
  <r>
    <s v="SP256"/>
    <x v="1"/>
    <d v="2024-07-08T00:00:00"/>
    <x v="1"/>
    <s v="Wrapped is here! Relive your top tracks ðŸŽ§"/>
    <n v="2304"/>
    <n v="289"/>
    <n v="161"/>
    <n v="52645"/>
    <n v="66262"/>
    <n v="146"/>
    <x v="2"/>
    <s v="ChillVibes"/>
  </r>
  <r>
    <s v="SP257"/>
    <x v="1"/>
    <d v="2024-06-08T00:00:00"/>
    <x v="1"/>
    <s v="Top trending tracks updated daily!"/>
    <n v="3413"/>
    <n v="326"/>
    <n v="86"/>
    <n v="44680"/>
    <n v="52719"/>
    <n v="272"/>
    <x v="4"/>
    <s v="ChillVibes"/>
  </r>
  <r>
    <s v="SP258"/>
    <x v="2"/>
    <d v="2025-03-20T00:00:00"/>
    <x v="2"/>
    <s v="From pop to podcasts, itâ€™s all here."/>
    <n v="1453"/>
    <n v="156"/>
    <n v="178"/>
    <n v="52980"/>
    <n v="57180"/>
    <n v="286"/>
    <x v="7"/>
    <s v="SummerBeats"/>
  </r>
  <r>
    <s v="SP259"/>
    <x v="1"/>
    <d v="2025-01-19T00:00:00"/>
    <x v="1"/>
    <s v="Music that moves youâ€”only on Spotify."/>
    <n v="1651"/>
    <n v="480"/>
    <n v="282"/>
    <n v="32140"/>
    <n v="70560"/>
    <n v="138"/>
    <x v="0"/>
    <s v="ChillVibes"/>
  </r>
  <r>
    <s v="SP260"/>
    <x v="1"/>
    <d v="2025-01-05T00:00:00"/>
    <x v="1"/>
    <s v="Explore the latest podcasts now."/>
    <n v="3341"/>
    <n v="154"/>
    <n v="123"/>
    <n v="43369"/>
    <n v="49035"/>
    <n v="128"/>
    <x v="2"/>
    <s v="ChillVibes"/>
  </r>
  <r>
    <s v="SP261"/>
    <x v="1"/>
    <d v="2024-11-16T00:00:00"/>
    <x v="0"/>
    <s v="From pop to podcasts, itâ€™s all here."/>
    <n v="2972"/>
    <n v="263"/>
    <n v="308"/>
    <n v="51740"/>
    <n v="28214"/>
    <n v="190"/>
    <x v="6"/>
    <s v="IndieWave"/>
  </r>
  <r>
    <s v="SP262"/>
    <x v="1"/>
    <d v="2024-11-30T00:00:00"/>
    <x v="1"/>
    <s v="Explore the latest podcasts now."/>
    <n v="4963"/>
    <n v="255"/>
    <n v="193"/>
    <n v="44386"/>
    <n v="28415"/>
    <n v="174"/>
    <x v="2"/>
    <s v="ChillVibes"/>
  </r>
  <r>
    <s v="SP263"/>
    <x v="2"/>
    <d v="2024-03-27T00:00:00"/>
    <x v="0"/>
    <s v="Music that moves youâ€”only on Spotify."/>
    <n v="2399"/>
    <n v="191"/>
    <n v="221"/>
    <n v="51603"/>
    <n v="40033"/>
    <n v="173"/>
    <x v="3"/>
    <s v="IndieWave"/>
  </r>
  <r>
    <s v="SP264"/>
    <x v="2"/>
    <d v="2025-05-31T00:00:00"/>
    <x v="2"/>
    <s v="Get into the groove with our new drop!"/>
    <n v="2162"/>
    <n v="318"/>
    <n v="83"/>
    <n v="46719"/>
    <n v="20482"/>
    <n v="185"/>
    <x v="7"/>
    <s v="SummerBeats"/>
  </r>
  <r>
    <s v="SP265"/>
    <x v="1"/>
    <d v="2025-06-17T00:00:00"/>
    <x v="1"/>
    <s v="Explore the latest podcasts now."/>
    <n v="4341"/>
    <n v="141"/>
    <n v="63"/>
    <n v="50081"/>
    <n v="27507"/>
    <n v="221"/>
    <x v="4"/>
    <s v="ChillVibes"/>
  </r>
  <r>
    <s v="SP266"/>
    <x v="0"/>
    <d v="2024-05-30T00:00:00"/>
    <x v="1"/>
    <s v="Get into the groove with our new drop!"/>
    <n v="2448"/>
    <n v="464"/>
    <n v="98"/>
    <n v="25737"/>
    <n v="48545"/>
    <n v="246"/>
    <x v="5"/>
    <s v="Wrapped2024"/>
  </r>
  <r>
    <s v="SP267"/>
    <x v="2"/>
    <d v="2024-11-08T00:00:00"/>
    <x v="0"/>
    <s v="Top trending tracks updated daily!"/>
    <n v="2471"/>
    <n v="166"/>
    <n v="320"/>
    <n v="48254"/>
    <n v="46900"/>
    <n v="111"/>
    <x v="3"/>
    <s v="IndieWave"/>
  </r>
  <r>
    <s v="SP268"/>
    <x v="2"/>
    <d v="2024-03-17T00:00:00"/>
    <x v="2"/>
    <s v="Explore the latest podcasts now."/>
    <n v="2692"/>
    <n v="446"/>
    <n v="216"/>
    <n v="45818"/>
    <n v="62723"/>
    <n v="85"/>
    <x v="7"/>
    <s v="SummerBeats"/>
  </r>
  <r>
    <s v="SP269"/>
    <x v="2"/>
    <d v="2024-06-21T00:00:00"/>
    <x v="2"/>
    <s v="Music that moves youâ€”only on Spotify."/>
    <n v="4621"/>
    <n v="374"/>
    <n v="298"/>
    <n v="56979"/>
    <n v="24098"/>
    <n v="205"/>
    <x v="7"/>
    <s v="SummerBeats"/>
  </r>
  <r>
    <s v="SP270"/>
    <x v="1"/>
    <d v="2024-11-13T00:00:00"/>
    <x v="1"/>
    <s v="New music just dropped. Hit play!"/>
    <n v="1409"/>
    <n v="466"/>
    <n v="105"/>
    <n v="58923"/>
    <n v="38753"/>
    <n v="265"/>
    <x v="4"/>
    <s v="ChillVibes"/>
  </r>
  <r>
    <s v="SP271"/>
    <x v="1"/>
    <d v="2025-02-05T00:00:00"/>
    <x v="1"/>
    <s v="Discover fresh beats on Spotify!"/>
    <n v="3029"/>
    <n v="440"/>
    <n v="66"/>
    <n v="23815"/>
    <n v="47895"/>
    <n v="210"/>
    <x v="4"/>
    <s v="ChillVibes"/>
  </r>
  <r>
    <s v="SP272"/>
    <x v="1"/>
    <d v="2024-11-07T00:00:00"/>
    <x v="0"/>
    <s v="Explore the latest podcasts now."/>
    <n v="2229"/>
    <n v="395"/>
    <n v="328"/>
    <n v="56921"/>
    <n v="37176"/>
    <n v="126"/>
    <x v="6"/>
    <s v="IndieWave"/>
  </r>
  <r>
    <s v="SP273"/>
    <x v="1"/>
    <d v="2024-02-12T00:00:00"/>
    <x v="0"/>
    <s v="Explore the latest podcasts now."/>
    <n v="2691"/>
    <n v="486"/>
    <n v="206"/>
    <n v="51133"/>
    <n v="44583"/>
    <n v="276"/>
    <x v="5"/>
    <s v="ChillVibes"/>
  </r>
  <r>
    <s v="SP274"/>
    <x v="0"/>
    <d v="2024-10-08T00:00:00"/>
    <x v="0"/>
    <s v="Explore the latest podcasts now."/>
    <n v="2110"/>
    <n v="384"/>
    <n v="236"/>
    <n v="49965"/>
    <n v="61555"/>
    <n v="195"/>
    <x v="1"/>
    <s v="IndieWave"/>
  </r>
  <r>
    <s v="SP275"/>
    <x v="0"/>
    <d v="2024-02-19T00:00:00"/>
    <x v="0"/>
    <s v="Wrapped is here! Relive your top tracks ðŸŽ§"/>
    <n v="4752"/>
    <n v="449"/>
    <n v="309"/>
    <n v="58530"/>
    <n v="26630"/>
    <n v="234"/>
    <x v="1"/>
    <s v="IndieWave"/>
  </r>
  <r>
    <s v="SP276"/>
    <x v="1"/>
    <d v="2025-03-04T00:00:00"/>
    <x v="0"/>
    <s v="Discover fresh beats on Spotify!"/>
    <n v="2177"/>
    <n v="258"/>
    <n v="292"/>
    <n v="47276"/>
    <n v="51324"/>
    <n v="143"/>
    <x v="5"/>
    <s v="ChillVibes"/>
  </r>
  <r>
    <s v="SP277"/>
    <x v="0"/>
    <d v="2025-02-03T00:00:00"/>
    <x v="1"/>
    <s v="New music just dropped. Hit play!"/>
    <n v="1205"/>
    <n v="486"/>
    <n v="269"/>
    <n v="23341"/>
    <n v="42411"/>
    <n v="184"/>
    <x v="5"/>
    <s v="Wrapped2024"/>
  </r>
  <r>
    <s v="SP278"/>
    <x v="0"/>
    <d v="2024-12-02T00:00:00"/>
    <x v="0"/>
    <s v="Top trending tracks updated daily!"/>
    <n v="3194"/>
    <n v="292"/>
    <n v="245"/>
    <n v="56371"/>
    <n v="65597"/>
    <n v="163"/>
    <x v="0"/>
    <s v="ChillVibes"/>
  </r>
  <r>
    <s v="SP279"/>
    <x v="1"/>
    <d v="2025-01-19T00:00:00"/>
    <x v="1"/>
    <s v="New music just dropped. Hit play!"/>
    <n v="3507"/>
    <n v="295"/>
    <n v="371"/>
    <n v="20410"/>
    <n v="53965"/>
    <n v="212"/>
    <x v="0"/>
    <s v="ChillVibes"/>
  </r>
  <r>
    <s v="SP280"/>
    <x v="1"/>
    <d v="2024-09-28T00:00:00"/>
    <x v="1"/>
    <s v="Wrapped is here! Relive your top tracks ðŸŽ§"/>
    <n v="4471"/>
    <n v="317"/>
    <n v="249"/>
    <n v="44862"/>
    <n v="33365"/>
    <n v="184"/>
    <x v="4"/>
    <s v="ChillVibes"/>
  </r>
  <r>
    <s v="SP281"/>
    <x v="0"/>
    <d v="2024-01-07T00:00:00"/>
    <x v="0"/>
    <s v="Top trending tracks updated daily!"/>
    <n v="4931"/>
    <n v="469"/>
    <n v="193"/>
    <n v="56701"/>
    <n v="69437"/>
    <n v="291"/>
    <x v="0"/>
    <s v="ChillVibes"/>
  </r>
  <r>
    <s v="SP282"/>
    <x v="1"/>
    <d v="2024-02-21T00:00:00"/>
    <x v="1"/>
    <s v="Get into the groove with our new drop!"/>
    <n v="2604"/>
    <n v="439"/>
    <n v="148"/>
    <n v="58468"/>
    <n v="39629"/>
    <n v="163"/>
    <x v="2"/>
    <s v="ChillVibes"/>
  </r>
  <r>
    <s v="SP283"/>
    <x v="0"/>
    <d v="2024-08-27T00:00:00"/>
    <x v="0"/>
    <s v="Music that moves youâ€”only on Spotify."/>
    <n v="4197"/>
    <n v="359"/>
    <n v="280"/>
    <n v="56048"/>
    <n v="70930"/>
    <n v="295"/>
    <x v="1"/>
    <s v="IndieWave"/>
  </r>
  <r>
    <s v="SP284"/>
    <x v="0"/>
    <d v="2024-10-24T00:00:00"/>
    <x v="1"/>
    <s v="Top trending tracks updated daily!"/>
    <n v="1914"/>
    <n v="255"/>
    <n v="156"/>
    <n v="27660"/>
    <n v="47776"/>
    <n v="111"/>
    <x v="5"/>
    <s v="Wrapped2024"/>
  </r>
  <r>
    <s v="SP285"/>
    <x v="2"/>
    <d v="2025-01-29T00:00:00"/>
    <x v="0"/>
    <s v="New music just dropped. Hit play!"/>
    <n v="1334"/>
    <n v="357"/>
    <n v="257"/>
    <n v="56910"/>
    <n v="70606"/>
    <n v="228"/>
    <x v="3"/>
    <s v="IndieWave"/>
  </r>
  <r>
    <s v="SP286"/>
    <x v="0"/>
    <d v="2024-05-01T00:00:00"/>
    <x v="0"/>
    <s v="Get into the groove with our new drop!"/>
    <n v="3359"/>
    <n v="137"/>
    <n v="387"/>
    <n v="33861"/>
    <n v="47257"/>
    <n v="198"/>
    <x v="1"/>
    <s v="IndieWave"/>
  </r>
  <r>
    <s v="SP287"/>
    <x v="2"/>
    <d v="2024-06-25T00:00:00"/>
    <x v="0"/>
    <s v="Your weekend playlist is waiting."/>
    <n v="2172"/>
    <n v="338"/>
    <n v="70"/>
    <n v="30515"/>
    <n v="57853"/>
    <n v="156"/>
    <x v="3"/>
    <s v="IndieWave"/>
  </r>
  <r>
    <s v="SP288"/>
    <x v="1"/>
    <d v="2024-08-09T00:00:00"/>
    <x v="1"/>
    <s v="From pop to podcasts, itâ€™s all here."/>
    <n v="4877"/>
    <n v="442"/>
    <n v="236"/>
    <n v="52673"/>
    <n v="48241"/>
    <n v="114"/>
    <x v="4"/>
    <s v="ChillVibes"/>
  </r>
  <r>
    <s v="SP289"/>
    <x v="0"/>
    <d v="2025-01-21T00:00:00"/>
    <x v="1"/>
    <s v="New music just dropped. Hit play!"/>
    <n v="4918"/>
    <n v="440"/>
    <n v="149"/>
    <n v="53269"/>
    <n v="64370"/>
    <n v="269"/>
    <x v="5"/>
    <s v="Wrapped2024"/>
  </r>
  <r>
    <s v="SP290"/>
    <x v="1"/>
    <d v="2024-08-13T00:00:00"/>
    <x v="0"/>
    <s v="Explore the latest podcasts now."/>
    <n v="3418"/>
    <n v="107"/>
    <n v="221"/>
    <n v="23927"/>
    <n v="26182"/>
    <n v="155"/>
    <x v="6"/>
    <s v="IndieWave"/>
  </r>
  <r>
    <s v="SP291"/>
    <x v="0"/>
    <d v="2024-06-29T00:00:00"/>
    <x v="0"/>
    <s v="Your weekend playlist is waiting."/>
    <n v="2088"/>
    <n v="490"/>
    <n v="124"/>
    <n v="46544"/>
    <n v="69346"/>
    <n v="178"/>
    <x v="0"/>
    <s v="ChillVibes"/>
  </r>
  <r>
    <s v="SP292"/>
    <x v="1"/>
    <d v="2024-11-03T00:00:00"/>
    <x v="1"/>
    <s v="Explore the latest podcasts now."/>
    <n v="3061"/>
    <n v="320"/>
    <n v="76"/>
    <n v="26640"/>
    <n v="24306"/>
    <n v="112"/>
    <x v="2"/>
    <s v="ChillVibes"/>
  </r>
  <r>
    <s v="SP293"/>
    <x v="2"/>
    <d v="2025-04-18T00:00:00"/>
    <x v="2"/>
    <s v="Your weekend playlist is waiting."/>
    <n v="1265"/>
    <n v="230"/>
    <n v="364"/>
    <n v="41312"/>
    <n v="50382"/>
    <n v="106"/>
    <x v="7"/>
    <s v="SummerBeats"/>
  </r>
  <r>
    <s v="SP294"/>
    <x v="0"/>
    <d v="2024-12-27T00:00:00"/>
    <x v="0"/>
    <s v="From pop to podcasts, itâ€™s all here."/>
    <n v="1436"/>
    <n v="219"/>
    <n v="229"/>
    <n v="58488"/>
    <n v="24314"/>
    <n v="147"/>
    <x v="1"/>
    <s v="IndieWave"/>
  </r>
  <r>
    <s v="SP295"/>
    <x v="0"/>
    <d v="2025-03-08T00:00:00"/>
    <x v="1"/>
    <s v="Top trending tracks updated daily!"/>
    <n v="2244"/>
    <n v="392"/>
    <n v="231"/>
    <n v="25834"/>
    <n v="50906"/>
    <n v="165"/>
    <x v="5"/>
    <s v="Wrapped2024"/>
  </r>
  <r>
    <s v="SP296"/>
    <x v="1"/>
    <d v="2025-03-20T00:00:00"/>
    <x v="1"/>
    <s v="Your weekend playlist is waiting."/>
    <n v="3393"/>
    <n v="104"/>
    <n v="79"/>
    <n v="30025"/>
    <n v="21593"/>
    <n v="165"/>
    <x v="2"/>
    <s v="ChillVibes"/>
  </r>
  <r>
    <s v="SP297"/>
    <x v="1"/>
    <d v="2024-11-16T00:00:00"/>
    <x v="0"/>
    <s v="Explore the latest podcasts now."/>
    <n v="2901"/>
    <n v="108"/>
    <n v="86"/>
    <n v="51777"/>
    <n v="23773"/>
    <n v="160"/>
    <x v="6"/>
    <s v="IndieWave"/>
  </r>
  <r>
    <s v="SP298"/>
    <x v="1"/>
    <d v="2025-06-30T00:00:00"/>
    <x v="0"/>
    <s v="Whatâ€™s your vibe today? #SpotifyHits"/>
    <n v="2275"/>
    <n v="285"/>
    <n v="125"/>
    <n v="43970"/>
    <n v="74761"/>
    <n v="83"/>
    <x v="5"/>
    <s v="ChillVibes"/>
  </r>
  <r>
    <s v="SP299"/>
    <x v="1"/>
    <d v="2024-01-12T00:00:00"/>
    <x v="1"/>
    <s v="Wrapped is here! Relive your top tracks ðŸŽ§"/>
    <n v="2227"/>
    <n v="494"/>
    <n v="161"/>
    <n v="51651"/>
    <n v="68074"/>
    <n v="240"/>
    <x v="4"/>
    <s v="ChillVibes"/>
  </r>
  <r>
    <s v="SP300"/>
    <x v="0"/>
    <d v="2024-02-07T00:00:00"/>
    <x v="0"/>
    <s v="Music that moves youâ€”only on Spotify."/>
    <n v="1883"/>
    <n v="432"/>
    <n v="397"/>
    <n v="28759"/>
    <n v="18691"/>
    <n v="270"/>
    <x v="0"/>
    <s v="ChillVib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6D31E-7854-4DDF-BD04-8E188D41173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3" firstHeaderRow="0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2">
    <field x="3"/>
    <field x="1"/>
  </rowFields>
  <rowItems count="10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FDFA8-6D82-4A11-B61A-C9BCAA431A2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1"/>
        <item x="4"/>
        <item x="7"/>
        <item x="3"/>
        <item x="2"/>
        <item x="5"/>
        <item x="6"/>
        <item x="0"/>
        <item t="default"/>
      </items>
    </pivotField>
    <pivotField showAll="0"/>
  </pivotFields>
  <rowFields count="1">
    <field x="1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Clicks" fld="10" baseField="0" baseItem="0"/>
  </dataFields>
  <formats count="1">
    <format dxfId="3">
      <pivotArea dataOnly="0" fieldPosition="0">
        <references count="1">
          <reference field="11" count="1">
            <x v="5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44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5995F4D-D15D-4CCC-86BF-6E0C2C1DDD6E}">
  <we:reference id="wa200006009" version="2.1.2.10" store="en-US" storeType="OMEX"/>
  <we:alternateReferences>
    <we:reference id="wa200006009" version="2.1.2.10" store="wa20000600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8D51643-EA7E-459D-8630-C81F8BB8E83C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RujFWEozkIOlHPQjiOYLr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om.com/share/ae0c0a575e3f49aa882dfd6f3969f8a1?sid=da400ea8-2afe-4fd0-822f-a2ae010bc7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9592D-3EE5-40F9-8D8A-EFAC995126D5}">
  <dimension ref="A3:D13"/>
  <sheetViews>
    <sheetView workbookViewId="0">
      <selection activeCell="G25" sqref="G25"/>
    </sheetView>
  </sheetViews>
  <sheetFormatPr defaultRowHeight="15"/>
  <cols>
    <col min="1" max="1" width="13.42578125" bestFit="1" customWidth="1"/>
    <col min="2" max="2" width="12" bestFit="1" customWidth="1"/>
    <col min="3" max="3" width="13.5703125" bestFit="1" customWidth="1"/>
    <col min="4" max="4" width="17.42578125" bestFit="1" customWidth="1"/>
  </cols>
  <sheetData>
    <row r="3" spans="1:4">
      <c r="A3" s="10" t="s">
        <v>377</v>
      </c>
      <c r="B3" t="s">
        <v>379</v>
      </c>
      <c r="C3" t="s">
        <v>380</v>
      </c>
      <c r="D3" t="s">
        <v>381</v>
      </c>
    </row>
    <row r="4" spans="1:4">
      <c r="A4" s="11" t="s">
        <v>57</v>
      </c>
      <c r="B4">
        <v>89871</v>
      </c>
      <c r="C4">
        <v>9086</v>
      </c>
      <c r="D4">
        <v>6826</v>
      </c>
    </row>
    <row r="5" spans="1:4">
      <c r="A5" s="12" t="s">
        <v>31</v>
      </c>
      <c r="B5">
        <v>89871</v>
      </c>
      <c r="C5">
        <v>9086</v>
      </c>
      <c r="D5">
        <v>6826</v>
      </c>
    </row>
    <row r="6" spans="1:4">
      <c r="A6" s="11" t="s">
        <v>25</v>
      </c>
      <c r="B6">
        <v>333918</v>
      </c>
      <c r="C6">
        <v>34487</v>
      </c>
      <c r="D6">
        <v>24098</v>
      </c>
    </row>
    <row r="7" spans="1:4">
      <c r="A7" s="12" t="s">
        <v>14</v>
      </c>
      <c r="B7">
        <v>61815</v>
      </c>
      <c r="C7">
        <v>7993</v>
      </c>
      <c r="D7">
        <v>5656</v>
      </c>
    </row>
    <row r="8" spans="1:4">
      <c r="A8" s="12" t="s">
        <v>24</v>
      </c>
      <c r="B8">
        <v>272103</v>
      </c>
      <c r="C8">
        <v>26494</v>
      </c>
      <c r="D8">
        <v>18442</v>
      </c>
    </row>
    <row r="9" spans="1:4">
      <c r="A9" s="11" t="s">
        <v>15</v>
      </c>
      <c r="B9">
        <v>473386</v>
      </c>
      <c r="C9">
        <v>49828</v>
      </c>
      <c r="D9">
        <v>36142</v>
      </c>
    </row>
    <row r="10" spans="1:4">
      <c r="A10" s="12" t="s">
        <v>14</v>
      </c>
      <c r="B10">
        <v>189658</v>
      </c>
      <c r="C10">
        <v>21292</v>
      </c>
      <c r="D10">
        <v>15162</v>
      </c>
    </row>
    <row r="11" spans="1:4">
      <c r="A11" s="12" t="s">
        <v>24</v>
      </c>
      <c r="B11">
        <v>178192</v>
      </c>
      <c r="C11">
        <v>19004</v>
      </c>
      <c r="D11">
        <v>13135</v>
      </c>
    </row>
    <row r="12" spans="1:4">
      <c r="A12" s="12" t="s">
        <v>31</v>
      </c>
      <c r="B12">
        <v>105536</v>
      </c>
      <c r="C12">
        <v>9532</v>
      </c>
      <c r="D12">
        <v>7845</v>
      </c>
    </row>
    <row r="13" spans="1:4">
      <c r="A13" s="11" t="s">
        <v>378</v>
      </c>
      <c r="B13">
        <v>897175</v>
      </c>
      <c r="C13">
        <v>93401</v>
      </c>
      <c r="D13">
        <v>67066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6C99-A564-4C80-B353-A8E2A59AABDB}">
  <dimension ref="A3:B12"/>
  <sheetViews>
    <sheetView workbookViewId="0">
      <selection activeCell="G10" sqref="G10"/>
    </sheetView>
  </sheetViews>
  <sheetFormatPr defaultRowHeight="15"/>
  <cols>
    <col min="1" max="1" width="35" bestFit="1" customWidth="1"/>
    <col min="2" max="2" width="12.5703125" bestFit="1" customWidth="1"/>
  </cols>
  <sheetData>
    <row r="3" spans="1:2">
      <c r="A3" s="10" t="s">
        <v>377</v>
      </c>
      <c r="B3" t="s">
        <v>382</v>
      </c>
    </row>
    <row r="4" spans="1:2">
      <c r="A4" s="11" t="s">
        <v>21</v>
      </c>
      <c r="B4">
        <v>6366</v>
      </c>
    </row>
    <row r="5" spans="1:2">
      <c r="A5" s="11" t="s">
        <v>39</v>
      </c>
      <c r="B5">
        <v>6621</v>
      </c>
    </row>
    <row r="6" spans="1:2">
      <c r="A6" s="11" t="s">
        <v>58</v>
      </c>
      <c r="B6">
        <v>5557</v>
      </c>
    </row>
    <row r="7" spans="1:2">
      <c r="A7" s="11" t="s">
        <v>33</v>
      </c>
      <c r="B7">
        <v>7088</v>
      </c>
    </row>
    <row r="8" spans="1:2">
      <c r="A8" s="11" t="s">
        <v>27</v>
      </c>
      <c r="B8">
        <v>5672</v>
      </c>
    </row>
    <row r="9" spans="1:2">
      <c r="A9" s="14" t="s">
        <v>42</v>
      </c>
      <c r="B9" s="15">
        <v>10871</v>
      </c>
    </row>
    <row r="10" spans="1:2">
      <c r="A10" s="11" t="s">
        <v>45</v>
      </c>
      <c r="B10">
        <v>5263</v>
      </c>
    </row>
    <row r="11" spans="1:2">
      <c r="A11" s="11" t="s">
        <v>17</v>
      </c>
      <c r="B11">
        <v>10158</v>
      </c>
    </row>
    <row r="12" spans="1:2">
      <c r="A12" s="11" t="s">
        <v>378</v>
      </c>
      <c r="B12">
        <v>57596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zoomScaleNormal="100" workbookViewId="0">
      <selection activeCell="T11" sqref="T11"/>
    </sheetView>
  </sheetViews>
  <sheetFormatPr defaultColWidth="14.42578125" defaultRowHeight="15" customHeight="1"/>
  <cols>
    <col min="1" max="2" width="8.7109375" customWidth="1"/>
    <col min="3" max="3" width="18.85546875" customWidth="1"/>
    <col min="4" max="12" width="8.7109375" customWidth="1"/>
    <col min="13" max="13" width="19" customWidth="1"/>
    <col min="14" max="26" width="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2">
      <c r="A2" s="1" t="s">
        <v>13</v>
      </c>
      <c r="B2" s="1" t="s">
        <v>14</v>
      </c>
      <c r="C2" s="16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3" t="s">
        <v>17</v>
      </c>
      <c r="M2" s="1" t="s">
        <v>18</v>
      </c>
    </row>
    <row r="3" spans="1:22">
      <c r="A3" s="1" t="s">
        <v>19</v>
      </c>
      <c r="B3" s="1" t="s">
        <v>14</v>
      </c>
      <c r="C3" s="16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3" t="s">
        <v>21</v>
      </c>
      <c r="M3" s="1" t="s">
        <v>22</v>
      </c>
    </row>
    <row r="4" spans="1:22">
      <c r="A4" s="1" t="s">
        <v>23</v>
      </c>
      <c r="B4" s="1" t="s">
        <v>24</v>
      </c>
      <c r="C4" s="16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3" t="s">
        <v>27</v>
      </c>
      <c r="M4" s="1" t="s">
        <v>18</v>
      </c>
    </row>
    <row r="5" spans="1:22">
      <c r="A5" s="1" t="s">
        <v>28</v>
      </c>
      <c r="B5" s="1" t="s">
        <v>14</v>
      </c>
      <c r="C5" s="16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3" t="s">
        <v>17</v>
      </c>
      <c r="M5" s="1" t="s">
        <v>18</v>
      </c>
    </row>
    <row r="6" spans="1:22">
      <c r="A6" s="1" t="s">
        <v>30</v>
      </c>
      <c r="B6" s="1" t="s">
        <v>31</v>
      </c>
      <c r="C6" s="16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3" t="s">
        <v>33</v>
      </c>
      <c r="M6" s="1" t="s">
        <v>22</v>
      </c>
      <c r="U6" s="8" t="s">
        <v>373</v>
      </c>
      <c r="V6" s="7"/>
    </row>
    <row r="7" spans="1:22">
      <c r="A7" s="1" t="s">
        <v>34</v>
      </c>
      <c r="B7" s="1" t="s">
        <v>31</v>
      </c>
      <c r="C7" s="16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3" t="s">
        <v>33</v>
      </c>
      <c r="M7" s="1" t="s">
        <v>22</v>
      </c>
      <c r="U7">
        <f>(F2:F301+G2:G301+H2:H301)/I2:I301</f>
        <v>7.4828079253761837E-2</v>
      </c>
    </row>
    <row r="8" spans="1:22">
      <c r="A8" s="1" t="s">
        <v>36</v>
      </c>
      <c r="B8" s="1" t="s">
        <v>24</v>
      </c>
      <c r="C8" s="16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3" t="s">
        <v>17</v>
      </c>
      <c r="M8" s="1" t="s">
        <v>18</v>
      </c>
    </row>
    <row r="9" spans="1:22">
      <c r="A9" s="1" t="s">
        <v>38</v>
      </c>
      <c r="B9" s="1" t="s">
        <v>24</v>
      </c>
      <c r="C9" s="16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3" t="s">
        <v>39</v>
      </c>
      <c r="M9" s="1" t="s">
        <v>18</v>
      </c>
      <c r="U9" s="9"/>
    </row>
    <row r="10" spans="1:22">
      <c r="A10" s="1" t="s">
        <v>40</v>
      </c>
      <c r="B10" s="1" t="s">
        <v>24</v>
      </c>
      <c r="C10" s="16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3" t="s">
        <v>42</v>
      </c>
      <c r="M10" s="1" t="s">
        <v>18</v>
      </c>
    </row>
    <row r="11" spans="1:22">
      <c r="A11" s="1" t="s">
        <v>43</v>
      </c>
      <c r="B11" s="1" t="s">
        <v>24</v>
      </c>
      <c r="C11" s="16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3" t="s">
        <v>42</v>
      </c>
      <c r="M11" s="1" t="s">
        <v>18</v>
      </c>
      <c r="T11">
        <f>_xlfn.RANK.EQ(K2, $K$2:$K$301, 0)</f>
        <v>229</v>
      </c>
    </row>
    <row r="12" spans="1:22">
      <c r="A12" s="1" t="s">
        <v>44</v>
      </c>
      <c r="B12" s="1" t="s">
        <v>24</v>
      </c>
      <c r="C12" s="16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3" t="s">
        <v>45</v>
      </c>
      <c r="M12" s="1" t="s">
        <v>22</v>
      </c>
    </row>
    <row r="13" spans="1:22">
      <c r="A13" s="1" t="s">
        <v>46</v>
      </c>
      <c r="B13" s="1" t="s">
        <v>14</v>
      </c>
      <c r="C13" s="16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3" t="s">
        <v>17</v>
      </c>
      <c r="M13" s="1" t="s">
        <v>18</v>
      </c>
    </row>
    <row r="14" spans="1:22">
      <c r="A14" s="1" t="s">
        <v>47</v>
      </c>
      <c r="B14" s="1" t="s">
        <v>24</v>
      </c>
      <c r="C14" s="16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3" t="s">
        <v>27</v>
      </c>
      <c r="M14" s="1" t="s">
        <v>18</v>
      </c>
    </row>
    <row r="15" spans="1:22">
      <c r="A15" s="1" t="s">
        <v>48</v>
      </c>
      <c r="B15" s="1" t="s">
        <v>24</v>
      </c>
      <c r="C15" s="16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3" t="s">
        <v>42</v>
      </c>
      <c r="M15" s="1" t="s">
        <v>18</v>
      </c>
    </row>
    <row r="16" spans="1:22">
      <c r="A16" s="1" t="s">
        <v>50</v>
      </c>
      <c r="B16" s="1" t="s">
        <v>24</v>
      </c>
      <c r="C16" s="16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3" t="s">
        <v>42</v>
      </c>
      <c r="M16" s="1" t="s">
        <v>18</v>
      </c>
    </row>
    <row r="17" spans="1:21">
      <c r="A17" s="1" t="s">
        <v>52</v>
      </c>
      <c r="B17" s="1" t="s">
        <v>24</v>
      </c>
      <c r="C17" s="16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3" t="s">
        <v>27</v>
      </c>
      <c r="M17" s="1" t="s">
        <v>18</v>
      </c>
    </row>
    <row r="18" spans="1:21">
      <c r="A18" s="1" t="s">
        <v>53</v>
      </c>
      <c r="B18" s="1" t="s">
        <v>24</v>
      </c>
      <c r="C18" s="16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3" t="s">
        <v>42</v>
      </c>
      <c r="M18" s="1" t="s">
        <v>18</v>
      </c>
    </row>
    <row r="19" spans="1:21">
      <c r="A19" s="1" t="s">
        <v>54</v>
      </c>
      <c r="B19" s="1" t="s">
        <v>14</v>
      </c>
      <c r="C19" s="16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3" t="s">
        <v>42</v>
      </c>
      <c r="M19" s="1" t="s">
        <v>55</v>
      </c>
      <c r="U19" t="b">
        <f>L2&gt;=AVERAGE($B$2:$L$301)</f>
        <v>1</v>
      </c>
    </row>
    <row r="20" spans="1:21">
      <c r="A20" s="1" t="s">
        <v>56</v>
      </c>
      <c r="B20" s="1" t="s">
        <v>31</v>
      </c>
      <c r="C20" s="16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3" t="s">
        <v>58</v>
      </c>
      <c r="M20" s="1" t="s">
        <v>59</v>
      </c>
    </row>
    <row r="21" spans="1:21" ht="15.75" customHeight="1">
      <c r="A21" s="1" t="s">
        <v>60</v>
      </c>
      <c r="B21" s="1" t="s">
        <v>14</v>
      </c>
      <c r="C21" s="16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3" t="s">
        <v>21</v>
      </c>
      <c r="M21" s="1" t="s">
        <v>22</v>
      </c>
    </row>
    <row r="22" spans="1:21" ht="15.75" customHeight="1">
      <c r="A22" s="1" t="s">
        <v>61</v>
      </c>
      <c r="B22" s="1" t="s">
        <v>14</v>
      </c>
      <c r="C22" s="16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3" t="s">
        <v>42</v>
      </c>
      <c r="M22" s="1" t="s">
        <v>55</v>
      </c>
    </row>
    <row r="23" spans="1:21" ht="15.75" customHeight="1">
      <c r="A23" s="1" t="s">
        <v>62</v>
      </c>
      <c r="B23" s="1" t="s">
        <v>14</v>
      </c>
      <c r="C23" s="16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3" t="s">
        <v>17</v>
      </c>
      <c r="M23" s="1" t="s">
        <v>18</v>
      </c>
    </row>
    <row r="24" spans="1:21" ht="15.75" customHeight="1">
      <c r="A24" s="1" t="s">
        <v>63</v>
      </c>
      <c r="B24" s="1" t="s">
        <v>31</v>
      </c>
      <c r="C24" s="16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3" t="s">
        <v>58</v>
      </c>
      <c r="M24" s="1" t="s">
        <v>59</v>
      </c>
    </row>
    <row r="25" spans="1:21" ht="15.75" customHeight="1">
      <c r="A25" s="1" t="s">
        <v>64</v>
      </c>
      <c r="B25" s="1" t="s">
        <v>24</v>
      </c>
      <c r="C25" s="16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3" t="s">
        <v>45</v>
      </c>
      <c r="M25" s="1" t="s">
        <v>22</v>
      </c>
    </row>
    <row r="26" spans="1:21" ht="15.75" customHeight="1">
      <c r="A26" s="1" t="s">
        <v>65</v>
      </c>
      <c r="B26" s="1" t="s">
        <v>31</v>
      </c>
      <c r="C26" s="16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3" t="s">
        <v>58</v>
      </c>
      <c r="M26" s="1" t="s">
        <v>59</v>
      </c>
    </row>
    <row r="27" spans="1:21" ht="15.75" customHeight="1">
      <c r="A27" s="1" t="s">
        <v>66</v>
      </c>
      <c r="B27" s="1" t="s">
        <v>24</v>
      </c>
      <c r="C27" s="16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3" t="s">
        <v>39</v>
      </c>
      <c r="M27" s="1" t="s">
        <v>18</v>
      </c>
    </row>
    <row r="28" spans="1:21" ht="15.75" customHeight="1">
      <c r="A28" s="1" t="s">
        <v>67</v>
      </c>
      <c r="B28" s="1" t="s">
        <v>14</v>
      </c>
      <c r="C28" s="16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3" t="s">
        <v>17</v>
      </c>
      <c r="M28" s="1" t="s">
        <v>18</v>
      </c>
    </row>
    <row r="29" spans="1:21" ht="15.75" customHeight="1">
      <c r="A29" s="1" t="s">
        <v>68</v>
      </c>
      <c r="B29" s="1" t="s">
        <v>31</v>
      </c>
      <c r="C29" s="16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3" t="s">
        <v>58</v>
      </c>
      <c r="M29" s="1" t="s">
        <v>59</v>
      </c>
    </row>
    <row r="30" spans="1:21" ht="15.75" customHeight="1">
      <c r="A30" s="1" t="s">
        <v>69</v>
      </c>
      <c r="B30" s="1" t="s">
        <v>24</v>
      </c>
      <c r="C30" s="16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3" t="s">
        <v>27</v>
      </c>
      <c r="M30" s="1" t="s">
        <v>18</v>
      </c>
    </row>
    <row r="31" spans="1:21" ht="15.75" customHeight="1">
      <c r="A31" s="1" t="s">
        <v>70</v>
      </c>
      <c r="B31" s="1" t="s">
        <v>24</v>
      </c>
      <c r="C31" s="16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3" t="s">
        <v>42</v>
      </c>
      <c r="M31" s="1" t="s">
        <v>18</v>
      </c>
    </row>
    <row r="32" spans="1:21" ht="15.75" customHeight="1">
      <c r="A32" s="1" t="s">
        <v>71</v>
      </c>
      <c r="B32" s="1" t="s">
        <v>14</v>
      </c>
      <c r="C32" s="16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3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16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3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16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3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16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3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16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3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16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3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16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3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16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3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16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3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16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3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16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3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16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3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16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3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16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3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16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3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16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3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16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3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16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3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16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3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16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3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16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3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16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3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16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3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16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3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16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3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16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3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16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3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16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3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16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3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16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3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16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3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16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3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16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3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16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3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16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3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16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3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16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3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16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3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16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3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16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3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16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3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16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3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16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3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16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3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16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3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16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3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16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3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16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3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16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3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16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3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16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3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16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3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16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3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16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3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16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3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16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3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16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3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16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3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16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3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16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3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16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3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16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3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16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3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16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3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16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3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16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3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16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3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16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3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16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3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16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3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16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3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16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3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16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3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16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3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16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3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16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3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16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3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16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3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16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3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16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3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16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3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16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3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16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3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16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3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16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3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16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3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16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3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16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3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16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3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16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3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16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3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16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3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16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3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16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3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16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3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16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3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16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3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16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3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16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3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16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3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16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3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16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3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16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3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16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3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16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3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16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3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16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3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16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3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16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3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16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3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16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3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16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3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16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3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16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3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16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3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16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3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16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3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16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3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16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3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16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3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16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3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16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3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16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3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16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3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16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3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16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3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16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3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16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3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16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3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16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3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16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3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16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3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16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3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16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3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16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3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16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3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16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3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16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3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16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3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16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3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16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3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16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3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16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3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16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3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16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3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16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3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16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3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16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3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16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3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16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3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16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3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16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3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16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3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16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3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16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3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16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3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16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3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16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3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16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3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16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3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16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3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16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3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16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3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16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3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16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3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16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3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16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3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16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3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16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3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16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3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16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3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16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3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16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3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16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3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16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3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16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3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16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3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16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3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16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3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16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3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16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3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16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3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16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3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16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3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16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3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16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3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16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3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16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3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16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3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16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3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16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3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16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3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16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3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16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3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16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3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16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3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16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3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16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3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16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3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16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3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16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3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16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3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16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3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16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3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16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3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16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3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16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3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16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3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16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3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16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3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16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3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16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3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16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3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16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3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16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3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16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3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16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3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16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3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16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3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16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3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16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3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16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3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16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3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16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3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16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3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16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3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16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3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16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3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16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3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16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3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16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3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16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3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16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3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16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3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16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3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16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3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16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3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16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3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16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3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16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3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16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3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16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3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16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3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16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3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16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3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16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3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16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3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16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3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16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3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16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3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16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3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16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3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16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3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16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3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16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3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16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3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16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3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16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3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16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3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16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3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16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3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16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3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16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3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16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3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16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3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16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3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16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3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16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3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16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3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16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3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U7">
    <sortCondition ref="U7" customList="Largest to Smallest"/>
  </sortState>
  <conditionalFormatting sqref="A2:M301">
    <cfRule type="expression" priority="6">
      <formula>$L$2:$L$301&lt;=10</formula>
    </cfRule>
  </conditionalFormatting>
  <conditionalFormatting sqref="F2:H301">
    <cfRule type="top10" dxfId="2" priority="3" percent="1" rank="10"/>
  </conditionalFormatting>
  <conditionalFormatting sqref="G2:G301">
    <cfRule type="top10" dxfId="1" priority="2" percent="1" rank="10"/>
  </conditionalFormatting>
  <conditionalFormatting sqref="H2:H301">
    <cfRule type="top10" dxfId="0" priority="1" percent="1" rank="10"/>
  </conditionalFormatting>
  <conditionalFormatting sqref="M2">
    <cfRule type="expression" priority="5">
      <formula>$L2&lt;=10</formula>
    </cfRule>
  </conditionalFormatting>
  <conditionalFormatting sqref="T11">
    <cfRule type="expression" priority="4">
      <formula>$T11&lt;=10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/>
  <cols>
    <col min="1" max="2" width="23.85546875" customWidth="1"/>
    <col min="3" max="4" width="8.7109375" customWidth="1"/>
    <col min="5" max="5" width="10.42578125" customWidth="1"/>
    <col min="6" max="6" width="10.7109375" customWidth="1"/>
    <col min="7" max="26" width="8.7109375" customWidth="1"/>
  </cols>
  <sheetData>
    <row r="1" spans="1:7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7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7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7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7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7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7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7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7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7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7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7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7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7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7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7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7">
      <c r="A2" s="6" t="s">
        <v>59</v>
      </c>
      <c r="B2" s="6" t="s">
        <v>353</v>
      </c>
      <c r="C2" s="6" t="s">
        <v>354</v>
      </c>
      <c r="D2" s="6" t="s">
        <v>355</v>
      </c>
      <c r="E2" s="6">
        <v>175000</v>
      </c>
      <c r="F2" s="6" t="s">
        <v>356</v>
      </c>
      <c r="G2" s="6" t="s">
        <v>357</v>
      </c>
    </row>
    <row r="3" spans="1:7">
      <c r="A3" s="6" t="s">
        <v>55</v>
      </c>
      <c r="B3" s="6" t="s">
        <v>358</v>
      </c>
      <c r="C3" s="6" t="s">
        <v>359</v>
      </c>
      <c r="D3" s="6" t="s">
        <v>360</v>
      </c>
      <c r="E3" s="6">
        <v>225000</v>
      </c>
      <c r="F3" s="6" t="s">
        <v>361</v>
      </c>
      <c r="G3" s="6" t="s">
        <v>362</v>
      </c>
    </row>
    <row r="4" spans="1:7">
      <c r="A4" s="6" t="s">
        <v>18</v>
      </c>
      <c r="B4" s="6" t="s">
        <v>363</v>
      </c>
      <c r="C4" s="6" t="s">
        <v>364</v>
      </c>
      <c r="D4" s="6" t="s">
        <v>365</v>
      </c>
      <c r="E4" s="6">
        <v>200000</v>
      </c>
      <c r="F4" s="6" t="s">
        <v>366</v>
      </c>
      <c r="G4" s="6" t="s">
        <v>367</v>
      </c>
    </row>
    <row r="5" spans="1:7">
      <c r="A5" s="6" t="s">
        <v>22</v>
      </c>
      <c r="B5" s="6" t="s">
        <v>368</v>
      </c>
      <c r="C5" s="6" t="s">
        <v>369</v>
      </c>
      <c r="D5" s="6" t="s">
        <v>370</v>
      </c>
      <c r="E5" s="6">
        <v>160000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3EFC-B959-4C47-82F8-76C6BC1272E5}">
  <dimension ref="B2:D3"/>
  <sheetViews>
    <sheetView tabSelected="1" workbookViewId="0">
      <selection activeCell="D3" sqref="D3"/>
    </sheetView>
  </sheetViews>
  <sheetFormatPr defaultRowHeight="15"/>
  <sheetData>
    <row r="2" spans="2:4">
      <c r="B2" s="17" t="s">
        <v>383</v>
      </c>
    </row>
    <row r="3" spans="2:4">
      <c r="D3" s="18" t="s">
        <v>384</v>
      </c>
    </row>
  </sheetData>
  <hyperlinks>
    <hyperlink ref="D3" r:id="rId1" xr:uid="{5E2D1FAB-804F-44B2-B672-404E00563A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0B35A-F69A-4506-894F-08CC272F5257}">
  <dimension ref="FNR102691:VFT570087"/>
  <sheetViews>
    <sheetView workbookViewId="0"/>
  </sheetViews>
  <sheetFormatPr defaultRowHeight="15"/>
  <sheetData>
    <row r="102691" spans="15048:15048">
      <c r="VFT102691" t="s">
        <v>374</v>
      </c>
    </row>
    <row r="245058" spans="4438:4438">
      <c r="FNR245058" t="s">
        <v>376</v>
      </c>
    </row>
    <row r="570087" spans="6636:6636">
      <c r="IUF570087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task2(3)1</vt:lpstr>
      <vt:lpstr>task2(3)2</vt:lpstr>
      <vt:lpstr>Posts</vt:lpstr>
      <vt:lpstr>Engagement Summary</vt:lpstr>
      <vt:lpstr>Campaign Metadata</vt:lpstr>
      <vt:lpstr>video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 Gowda</cp:lastModifiedBy>
  <dcterms:created xsi:type="dcterms:W3CDTF">2025-08-22T18:56:27Z</dcterms:created>
  <dcterms:modified xsi:type="dcterms:W3CDTF">2025-09-19T06:52:49Z</dcterms:modified>
</cp:coreProperties>
</file>