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kas\OneDrive\Documents\intershala projects\course 2 spotify project\"/>
    </mc:Choice>
  </mc:AlternateContent>
  <xr:revisionPtr revIDLastSave="0" documentId="13_ncr:1_{591A505B-2CAB-49EB-ACC0-FE10E04FA4E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ask5(4)" sheetId="8" r:id="rId1"/>
    <sheet name="task5(1)" sheetId="4" r:id="rId2"/>
    <sheet name="Posts" sheetId="1" r:id="rId3"/>
    <sheet name="task5(2)" sheetId="6" r:id="rId4"/>
    <sheet name="Engagement Summary" sheetId="2" r:id="rId5"/>
    <sheet name="Campaign Metadata" sheetId="3" r:id="rId6"/>
    <sheet name="video link" sheetId="9" r:id="rId7"/>
  </sheets>
  <calcPr calcId="191029"/>
  <pivotCaches>
    <pivotCache cacheId="0" r:id="rId8"/>
    <pivotCache cacheId="1" r:id="rId9"/>
    <pivotCache cacheId="2" r:id="rId10"/>
  </pivotCaches>
</workbook>
</file>

<file path=xl/calcChain.xml><?xml version="1.0" encoding="utf-8"?>
<calcChain xmlns="http://schemas.openxmlformats.org/spreadsheetml/2006/main">
  <c r="K7" i="2" l="1"/>
  <c r="K4" i="2"/>
  <c r="S10" i="1"/>
</calcChain>
</file>

<file path=xl/sharedStrings.xml><?xml version="1.0" encoding="utf-8"?>
<sst xmlns="http://schemas.openxmlformats.org/spreadsheetml/2006/main" count="2089" uniqueCount="390">
  <si>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</si>
  <si>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</si>
  <si>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</si>
  <si>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</si>
  <si>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</si>
  <si>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</si>
  <si>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</si>
  <si>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</si>
  <si>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</si>
  <si>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</si>
  <si>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</si>
  <si>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</si>
  <si>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</si>
  <si>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</si>
  <si>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</si>
  <si>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</si>
  <si>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</si>
  <si>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</si>
  <si>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</si>
  <si>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</si>
  <si>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</si>
  <si>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</si>
  <si>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</si>
  <si>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</si>
  <si>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</si>
  <si>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</si>
  <si>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</si>
  <si>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</si>
  <si>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</si>
  <si>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</si>
  <si>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</si>
  <si>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</si>
  <si>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</si>
  <si>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</si>
  <si>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</si>
  <si>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</si>
  <si>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</si>
  <si>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</si>
  <si>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</si>
  <si>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</si>
  <si>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</si>
  <si>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</si>
  <si>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</si>
  <si>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</si>
  <si>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</si>
  <si>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</si>
  <si>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</si>
  <si>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</si>
  <si>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</si>
  <si>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</si>
  <si>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</si>
  <si>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</si>
  <si>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</si>
  <si>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</si>
  <si>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</si>
  <si>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</si>
  <si>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</si>
  <si>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</si>
  <si>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</si>
  <si>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</si>
  <si>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</si>
  <si>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</si>
  <si>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</si>
  <si>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</si>
  <si>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</si>
  <si>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</si>
  <si>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</si>
  <si>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</si>
  <si>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</si>
  <si>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</si>
  <si>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</si>
  <si>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</si>
  <si>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</si>
  <si>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</si>
  <si>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</si>
  <si>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</si>
  <si>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</si>
  <si>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</si>
  <si>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</si>
  <si>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</si>
  <si>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</si>
  <si>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</si>
  <si>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</si>
  <si>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</si>
  <si>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</si>
  <si>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</si>
  <si>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</si>
  <si>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</si>
  <si>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</si>
  <si>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</si>
  <si>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</si>
  <si>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</si>
  <si>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</si>
  <si>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</si>
  <si>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</si>
  <si>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</si>
  <si>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</si>
  <si>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</si>
  <si>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</si>
  <si>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</si>
  <si>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</si>
  <si>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</si>
  <si>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</si>
  <si>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</si>
  <si>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</si>
  <si>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</si>
  <si>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</si>
  <si>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</si>
  <si>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</si>
  <si>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</si>
  <si>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</si>
  <si>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</si>
  <si>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</si>
  <si>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</si>
  <si>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</si>
  <si>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</si>
  <si>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</si>
  <si>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</si>
  <si>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</si>
  <si>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</si>
  <si>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</si>
  <si>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</si>
  <si>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</si>
  <si>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</si>
  <si>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</si>
  <si>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</si>
  <si>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</si>
  <si>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</si>
  <si>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</si>
  <si>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</si>
  <si>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</si>
  <si>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</si>
  <si>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</si>
  <si>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</si>
  <si>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</si>
  <si>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</si>
  <si>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</si>
  <si>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</si>
  <si>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</si>
  <si>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</si>
  <si>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</si>
  <si>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</si>
  <si>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</si>
  <si>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</si>
  <si>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</si>
  <si>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</si>
  <si>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</si>
  <si>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</si>
  <si>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</si>
  <si>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</si>
  <si>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</si>
  <si>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</si>
  <si>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</si>
  <si>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</si>
  <si>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</si>
  <si>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</si>
  <si>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</si>
  <si>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</si>
  <si>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</si>
  <si>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</si>
  <si>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</si>
  <si>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</si>
  <si>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</si>
  <si>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</si>
  <si>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</si>
  <si>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</si>
  <si>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</si>
  <si>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</si>
  <si>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</si>
  <si>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</si>
  <si>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</si>
  <si>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</si>
  <si>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</si>
  <si>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</si>
  <si>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</si>
  <si>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</si>
  <si>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</si>
  <si>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</si>
  <si>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</si>
  <si>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</si>
  <si>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</si>
  <si>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</si>
  <si>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</si>
  <si>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</si>
  <si>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</si>
  <si>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</si>
  <si>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</si>
  <si>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</si>
  <si>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</si>
  <si>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</si>
  <si>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</si>
  <si>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</si>
  <si>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</si>
  <si>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</si>
  <si>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</si>
  <si>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</si>
  <si>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</si>
  <si>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</si>
  <si>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</si>
  <si>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</si>
  <si>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</si>
  <si>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</si>
  <si>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</si>
  <si>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</si>
  <si>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</si>
  <si>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</si>
  <si>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</si>
  <si>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</si>
  <si>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</si>
  <si>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</si>
  <si>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</si>
  <si>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</si>
  <si>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</si>
  <si>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</si>
  <si>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</si>
  <si>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</si>
  <si>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</si>
  <si>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</si>
  <si>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</si>
  <si>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</si>
  <si>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</si>
  <si>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</si>
  <si>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</si>
  <si>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</si>
  <si>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</si>
  <si>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</si>
  <si>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</si>
  <si>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</si>
  <si>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</si>
  <si>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</si>
  <si>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</si>
  <si>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</si>
  <si>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</si>
  <si>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</si>
  <si>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</si>
  <si>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</si>
  <si>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</si>
  <si>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</si>
  <si>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</si>
  <si>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</si>
  <si>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</si>
  <si>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</si>
  <si>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</si>
  <si>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</si>
  <si>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</si>
  <si>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</si>
  <si>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</si>
  <si>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</si>
  <si>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</si>
  <si>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</si>
  <si>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</si>
  <si>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</si>
  <si>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</si>
  <si>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</si>
  <si>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</si>
  <si>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</si>
  <si>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</si>
  <si>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</si>
  <si>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</si>
  <si>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</si>
  <si>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</si>
  <si>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</si>
  <si>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</si>
  <si>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</si>
  <si>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</si>
  <si>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</si>
  <si>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</si>
  <si>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</si>
  <si>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</si>
  <si>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</si>
  <si>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</si>
  <si>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</si>
  <si>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</si>
  <si>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</si>
  <si>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</si>
  <si>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</si>
  <si>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</si>
  <si>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</si>
  <si>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</si>
  <si>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</si>
  <si>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</si>
  <si>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</si>
  <si>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</si>
  <si>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</si>
  <si>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</si>
  <si>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</si>
  <si>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</si>
  <si>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</si>
  <si>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</si>
  <si>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</si>
  <si>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</si>
  <si>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</si>
  <si>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</si>
  <si>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</si>
  <si>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</si>
  <si>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</si>
  <si>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</si>
  <si>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</si>
  <si>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</si>
  <si>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</si>
  <si>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</si>
  <si>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</si>
  <si>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</si>
  <si>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</si>
  <si>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</si>
  <si>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</si>
  <si>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</si>
  <si>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</si>
  <si>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</si>
  <si>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</si>
  <si>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</si>
  <si>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</si>
  <si>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</si>
  <si>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</si>
  <si>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</si>
  <si>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</si>
  <si>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</si>
  <si>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</si>
  <si>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</si>
  <si>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</si>
  <si>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</si>
  <si>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</si>
  <si>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</si>
  <si>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</si>
  <si>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</si>
  <si>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</si>
  <si>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</si>
  <si>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</si>
  <si>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</si>
  <si>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</si>
  <si>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</si>
  <si>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</si>
  <si>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</si>
  <si>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</si>
  <si>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</si>
  <si>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</si>
  <si>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</si>
  <si>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</si>
  <si>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</si>
  <si>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</si>
  <si>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</si>
  <si>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</si>
  <si>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</si>
  <si>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</si>
  <si>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</si>
  <si>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</si>
  <si>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</si>
  <si>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</si>
  <si>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</si>
  <si>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</si>
  <si>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</si>
  <si>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</si>
  <si>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</si>
  <si>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</si>
  <si>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</si>
  <si>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</si>
  <si>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</si>
  <si>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</si>
  <si>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</si>
  <si>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</si>
  <si>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</si>
  <si>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</si>
  <si>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</si>
  <si>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</si>
  <si>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</si>
  <si>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</si>
  <si>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</si>
  <si>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</si>
  <si>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</si>
  <si>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</si>
  <si>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</si>
  <si>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</si>
  <si>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</si>
  <si>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Sum of Impressions</t>
  </si>
  <si>
    <t>Row Labels</t>
  </si>
  <si>
    <t>Grand Total</t>
  </si>
  <si>
    <t>Sum of Clicks</t>
  </si>
  <si>
    <t>Sum of Likes</t>
  </si>
  <si>
    <t>Count of Campaign_Name</t>
  </si>
  <si>
    <t>Sum of Engagement_Rate</t>
  </si>
  <si>
    <t>2024</t>
  </si>
  <si>
    <t>2025</t>
  </si>
  <si>
    <t>Sum of New_Followers</t>
  </si>
  <si>
    <t xml:space="preserve"> engagement/ad spend</t>
  </si>
  <si>
    <t>higest engagement rate</t>
  </si>
  <si>
    <t>Sum of Unfollows</t>
  </si>
  <si>
    <t>Sum of Total_Followers</t>
  </si>
  <si>
    <t>Sum of Ad_Spend</t>
  </si>
  <si>
    <t>video link</t>
  </si>
  <si>
    <t>https://www.loom.com/share/ef6d21fd30294a3dbdc657be06ff2049?sid=73aef1a3-930c-42a8-b554-947e01ebc277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</si>
</sst>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65" fontId="3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7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6.955076041668" createdVersion="8" refreshedVersion="8" minRefreshableVersion="3" recordCount="300" xr:uid="{D95F5126-D415-405F-81F2-E66710B43936}">
  <cacheSource type="worksheet">
    <worksheetSource ref="A1:M301" sheet="Posts"/>
  </cacheSource>
  <cacheFields count="13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5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 count="300">
        <n v="21181"/>
        <n v="29129"/>
        <n v="47533"/>
        <n v="29604"/>
        <n v="24401"/>
        <n v="58748"/>
        <n v="20756"/>
        <n v="21148"/>
        <n v="59016"/>
        <n v="21566"/>
        <n v="31316"/>
        <n v="38419"/>
        <n v="58162"/>
        <n v="36702"/>
        <n v="37492"/>
        <n v="48182"/>
        <n v="41364"/>
        <n v="32278"/>
        <n v="31826"/>
        <n v="29138"/>
        <n v="55668"/>
        <n v="28621"/>
        <n v="42000"/>
        <n v="28712"/>
        <n v="54605"/>
        <n v="55302"/>
        <n v="31004"/>
        <n v="49612"/>
        <n v="57431"/>
        <n v="26665"/>
        <n v="56284"/>
        <n v="43365"/>
        <n v="32181"/>
        <n v="38127"/>
        <n v="40095"/>
        <n v="43066"/>
        <n v="45300"/>
        <n v="44629"/>
        <n v="51386"/>
        <n v="27492"/>
        <n v="41265"/>
        <n v="44853"/>
        <n v="48746"/>
        <n v="51556"/>
        <n v="36148"/>
        <n v="23993"/>
        <n v="39838"/>
        <n v="24104"/>
        <n v="43443"/>
        <n v="24890"/>
        <n v="45884"/>
        <n v="21645"/>
        <n v="57660"/>
        <n v="58075"/>
        <n v="52115"/>
        <n v="23428"/>
        <n v="31233"/>
        <n v="39192"/>
        <n v="53581"/>
        <n v="45503"/>
        <n v="44558"/>
        <n v="54036"/>
        <n v="37302"/>
        <n v="51035"/>
        <n v="53805"/>
        <n v="58792"/>
        <n v="30619"/>
        <n v="20580"/>
        <n v="44692"/>
        <n v="51964"/>
        <n v="28914"/>
        <n v="20368"/>
        <n v="36528"/>
        <n v="53342"/>
        <n v="41947"/>
        <n v="38665"/>
        <n v="30589"/>
        <n v="22580"/>
        <n v="35535"/>
        <n v="37400"/>
        <n v="56623"/>
        <n v="43650"/>
        <n v="34578"/>
        <n v="29785"/>
        <n v="57685"/>
        <n v="36140"/>
        <n v="53435"/>
        <n v="30752"/>
        <n v="32368"/>
        <n v="22117"/>
        <n v="20659"/>
        <n v="30321"/>
        <n v="25641"/>
        <n v="36686"/>
        <n v="21202"/>
        <n v="24223"/>
        <n v="41763"/>
        <n v="59552"/>
        <n v="40681"/>
        <n v="36090"/>
        <n v="45012"/>
        <n v="23776"/>
        <n v="31870"/>
        <n v="36266"/>
        <n v="52090"/>
        <n v="21334"/>
        <n v="52853"/>
        <n v="41991"/>
        <n v="35221"/>
        <n v="25397"/>
        <n v="33644"/>
        <n v="36174"/>
        <n v="54342"/>
        <n v="46176"/>
        <n v="57451"/>
        <n v="37148"/>
        <n v="58981"/>
        <n v="54524"/>
        <n v="44338"/>
        <n v="53759"/>
        <n v="48989"/>
        <n v="51468"/>
        <n v="59083"/>
        <n v="46328"/>
        <n v="33347"/>
        <n v="56072"/>
        <n v="53485"/>
        <n v="24615"/>
        <n v="48879"/>
        <n v="59888"/>
        <n v="42075"/>
        <n v="49964"/>
        <n v="51696"/>
        <n v="30256"/>
        <n v="37621"/>
        <n v="22827"/>
        <n v="32793"/>
        <n v="48437"/>
        <n v="27762"/>
        <n v="29428"/>
        <n v="58007"/>
        <n v="43679"/>
        <n v="53004"/>
        <n v="49577"/>
        <n v="40792"/>
        <n v="40869"/>
        <n v="39187"/>
        <n v="48017"/>
        <n v="56994"/>
        <n v="30349"/>
        <n v="52508"/>
        <n v="37100"/>
        <n v="52395"/>
        <n v="51875"/>
        <n v="41085"/>
        <n v="53048"/>
        <n v="24610"/>
        <n v="33698"/>
        <n v="25405"/>
        <n v="46225"/>
        <n v="22824"/>
        <n v="25386"/>
        <n v="34146"/>
        <n v="51712"/>
        <n v="27355"/>
        <n v="53239"/>
        <n v="29828"/>
        <n v="33757"/>
        <n v="52172"/>
        <n v="32347"/>
        <n v="26114"/>
        <n v="26795"/>
        <n v="43147"/>
        <n v="52952"/>
        <n v="54808"/>
        <n v="46493"/>
        <n v="32470"/>
        <n v="59838"/>
        <n v="39745"/>
        <n v="58329"/>
        <n v="59606"/>
        <n v="47235"/>
        <n v="22020"/>
        <n v="47599"/>
        <n v="37980"/>
        <n v="22571"/>
        <n v="37762"/>
        <n v="45122"/>
        <n v="49199"/>
        <n v="32201"/>
        <n v="45080"/>
        <n v="56165"/>
        <n v="26532"/>
        <n v="58366"/>
        <n v="40256"/>
        <n v="48810"/>
        <n v="59517"/>
        <n v="43786"/>
        <n v="32991"/>
        <n v="56290"/>
        <n v="35459"/>
        <n v="24916"/>
        <n v="30971"/>
        <n v="47293"/>
        <n v="54592"/>
        <n v="57569"/>
        <n v="51519"/>
        <n v="54223"/>
        <n v="44013"/>
        <n v="47229"/>
        <n v="48350"/>
        <n v="54541"/>
        <n v="31674"/>
        <n v="23090"/>
        <n v="37525"/>
        <n v="41313"/>
        <n v="26109"/>
        <n v="39575"/>
        <n v="51611"/>
        <n v="38372"/>
        <n v="26247"/>
        <n v="44768"/>
        <n v="54232"/>
        <n v="45260"/>
        <n v="40634"/>
        <n v="54938"/>
        <n v="36955"/>
        <n v="57194"/>
        <n v="56876"/>
        <n v="47496"/>
        <n v="29847"/>
        <n v="44606"/>
        <n v="39038"/>
        <n v="25127"/>
        <n v="41791"/>
        <n v="36245"/>
        <n v="39198"/>
        <n v="59272"/>
        <n v="32900"/>
        <n v="52346"/>
        <n v="53323"/>
        <n v="35780"/>
        <n v="27904"/>
        <n v="57468"/>
        <n v="46434"/>
        <n v="20677"/>
        <n v="56773"/>
        <n v="27911"/>
        <n v="26570"/>
        <n v="29793"/>
        <n v="57819"/>
        <n v="45917"/>
        <n v="49500"/>
        <n v="34431"/>
        <n v="49319"/>
        <n v="52645"/>
        <n v="44680"/>
        <n v="52980"/>
        <n v="32140"/>
        <n v="43369"/>
        <n v="51740"/>
        <n v="44386"/>
        <n v="51603"/>
        <n v="46719"/>
        <n v="50081"/>
        <n v="25737"/>
        <n v="48254"/>
        <n v="45818"/>
        <n v="56979"/>
        <n v="58923"/>
        <n v="23815"/>
        <n v="56921"/>
        <n v="51133"/>
        <n v="49965"/>
        <n v="58530"/>
        <n v="47276"/>
        <n v="23341"/>
        <n v="56371"/>
        <n v="20410"/>
        <n v="44862"/>
        <n v="56701"/>
        <n v="58468"/>
        <n v="56048"/>
        <n v="27660"/>
        <n v="56910"/>
        <n v="33861"/>
        <n v="30515"/>
        <n v="52673"/>
        <n v="53269"/>
        <n v="23927"/>
        <n v="46544"/>
        <n v="26640"/>
        <n v="41312"/>
        <n v="58488"/>
        <n v="25834"/>
        <n v="30025"/>
        <n v="51777"/>
        <n v="43970"/>
        <n v="51651"/>
        <n v="28759"/>
      </sharedItems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Campaign_Name" numFmtId="0">
      <sharedItems count="4">
        <s v="ChillVibes"/>
        <s v="IndieWave"/>
        <s v="Wrapped2024"/>
        <s v="SummerBea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6.960372800924" createdVersion="8" refreshedVersion="8" minRefreshableVersion="3" recordCount="200" xr:uid="{00F68FA8-21D1-4A25-8180-3CC938C5E1E4}">
  <cacheSource type="worksheet">
    <worksheetSource ref="A1:G201" sheet="Engagement Summary"/>
  </cacheSource>
  <cacheFields count="10">
    <cacheField name="Week_Start_Date" numFmtId="0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9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6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9/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6/3/2024"/>
          <s v="Qtr1"/>
          <s v="Qtr2"/>
          <s v="Qtr3"/>
          <s v="Qtr4"/>
          <s v="&gt;9/9/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6/3/2024"/>
          <s v="2024"/>
          <s v="2025"/>
          <s v="&gt;9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6.9766431713" createdVersion="8" refreshedVersion="8" minRefreshableVersion="3" recordCount="200" xr:uid="{66A07190-B773-44EB-9824-A6B01E5ADDC9}">
  <cacheSource type="worksheet">
    <worksheetSource ref="A1:G201" sheet="task5(4)"/>
  </cacheSource>
  <cacheFields count="10">
    <cacheField name="Week_Start_Date" numFmtId="0">
      <sharedItems containsSemiMixedTypes="0" containsNonDate="0" containsDate="1" containsString="0" minDate="2024-06-03T00:00:00" maxDate="2025-09-09T00:00:00" count="67">
        <d v="2025-06-02T00:00:00"/>
        <d v="2025-07-07T00:00:00"/>
        <d v="2024-06-10T00:00:00"/>
        <d v="2024-06-03T00:00:00"/>
        <d v="2024-08-05T00:00:00"/>
        <d v="2024-11-04T00:00:00"/>
        <d v="2025-01-27T00:00:00"/>
        <d v="2024-11-25T00:00:00"/>
        <d v="2025-03-31T00:00:00"/>
        <d v="2024-06-24T00:00:00"/>
        <d v="2025-07-14T00:00:00"/>
        <d v="2024-09-30T00:00:00"/>
        <d v="2024-10-14T00:00:00"/>
        <d v="2025-03-17T00:00:00"/>
        <d v="2025-03-24T00:00:00"/>
        <d v="2024-09-16T00:00:00"/>
        <d v="2024-08-12T00:00:00"/>
        <d v="2025-08-18T00:00:00"/>
        <d v="2024-07-22T00:00:00"/>
        <d v="2024-09-23T00:00:00"/>
        <d v="2024-12-09T00:00:00"/>
        <d v="2025-05-05T00:00:00"/>
        <d v="2024-12-16T00:00:00"/>
        <d v="2025-01-20T00:00:00"/>
        <d v="2025-01-06T00:00:00"/>
        <d v="2024-12-23T00:00:00"/>
        <d v="2025-01-13T00:00:00"/>
        <d v="2025-08-11T00:00:00"/>
        <d v="2025-05-12T00:00:00"/>
        <d v="2025-02-10T00:00:00"/>
        <d v="2025-08-04T00:00:00"/>
        <d v="2024-07-08T00:00:00"/>
        <d v="2024-07-15T00:00:00"/>
        <d v="2024-10-07T00:00:00"/>
        <d v="2025-06-23T00:00:00"/>
        <d v="2024-11-11T00:00:00"/>
        <d v="2024-06-17T00:00:00"/>
        <d v="2025-03-03T00:00:00"/>
        <d v="2024-10-21T00:00:00"/>
        <d v="2024-12-02T00:00:00"/>
        <d v="2025-05-19T00:00:00"/>
        <d v="2025-03-10T00:00:00"/>
        <d v="2024-09-09T00:00:00"/>
        <d v="2025-07-28T00:00:00"/>
        <d v="2025-04-21T00:00:00"/>
        <d v="2024-09-02T00:00:00"/>
        <d v="2025-05-26T00:00:00"/>
        <d v="2024-08-26T00:00:00"/>
        <d v="2025-04-07T00:00:00"/>
        <d v="2025-02-03T00:00:00"/>
        <d v="2025-04-14T00:00:00"/>
        <d v="2025-02-17T00:00:00"/>
        <d v="2025-02-24T00:00:00"/>
        <d v="2025-07-21T00:00:00"/>
        <d v="2024-11-18T00:00:00"/>
        <d v="2025-08-25T00:00:00"/>
        <d v="2025-06-16T00:00:00"/>
        <d v="2024-08-19T00:00:00"/>
        <d v="2025-06-30T00:00:00"/>
        <d v="2024-07-29T00:00:00"/>
        <d v="2024-07-01T00:00:00"/>
        <d v="2024-10-28T00:00:00"/>
        <d v="2025-09-01T00:00:00"/>
        <d v="2025-06-09T00:00:00"/>
        <d v="2025-09-08T00:00:00"/>
        <d v="2024-12-30T00:00:00"/>
        <d v="2025-04-28T00:00:00"/>
      </sharedItems>
      <fieldGroup par="9"/>
    </cacheField>
    <cacheField name="Platform" numFmtId="0">
      <sharedItems count="3">
        <s v="YouTube"/>
        <s v="Instagram"/>
        <s v="Twitter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 count="200">
        <n v="115694"/>
        <n v="247965"/>
        <n v="391621"/>
        <n v="387352"/>
        <n v="124562"/>
        <n v="200636"/>
        <n v="348877"/>
        <n v="368984"/>
        <n v="197183"/>
        <n v="107718"/>
        <n v="126015"/>
        <n v="281913"/>
        <n v="179781"/>
        <n v="325325"/>
        <n v="263488"/>
        <n v="124497"/>
        <n v="371015"/>
        <n v="87186"/>
        <n v="92474"/>
        <n v="276722"/>
        <n v="151799"/>
        <n v="204121"/>
        <n v="80745"/>
        <n v="345631"/>
        <n v="231925"/>
        <n v="170432"/>
        <n v="271638"/>
        <n v="253985"/>
        <n v="258398"/>
        <n v="328902"/>
        <n v="352677"/>
        <n v="326821"/>
        <n v="358581"/>
        <n v="160936"/>
        <n v="248581"/>
        <n v="341856"/>
        <n v="122730"/>
        <n v="116472"/>
        <n v="360770"/>
        <n v="168375"/>
        <n v="297090"/>
        <n v="267546"/>
        <n v="76866"/>
        <n v="263729"/>
        <n v="340121"/>
        <n v="133082"/>
        <n v="192022"/>
        <n v="279405"/>
        <n v="206921"/>
        <n v="151462"/>
        <n v="306508"/>
        <n v="157547"/>
        <n v="245947"/>
        <n v="116436"/>
        <n v="141161"/>
        <n v="132756"/>
        <n v="292040"/>
        <n v="344771"/>
        <n v="86849"/>
        <n v="227958"/>
        <n v="92040"/>
        <n v="193131"/>
        <n v="129640"/>
        <n v="351493"/>
        <n v="118393"/>
        <n v="295090"/>
        <n v="174610"/>
        <n v="138521"/>
        <n v="310903"/>
        <n v="155927"/>
        <n v="81184"/>
        <n v="338650"/>
        <n v="370242"/>
        <n v="127502"/>
        <n v="113412"/>
        <n v="358295"/>
        <n v="315981"/>
        <n v="202472"/>
        <n v="257485"/>
        <n v="194595"/>
        <n v="359150"/>
        <n v="115505"/>
        <n v="341016"/>
        <n v="321258"/>
        <n v="274567"/>
        <n v="188193"/>
        <n v="340098"/>
        <n v="314982"/>
        <n v="227249"/>
        <n v="258115"/>
        <n v="271044"/>
        <n v="198882"/>
        <n v="128620"/>
        <n v="336383"/>
        <n v="213950"/>
        <n v="116632"/>
        <n v="254727"/>
        <n v="368872"/>
        <n v="340750"/>
        <n v="127273"/>
        <n v="171271"/>
        <n v="202234"/>
        <n v="327012"/>
        <n v="114738"/>
        <n v="366149"/>
        <n v="296450"/>
        <n v="105622"/>
        <n v="353781"/>
        <n v="194994"/>
        <n v="333500"/>
        <n v="169665"/>
        <n v="175860"/>
        <n v="319294"/>
        <n v="283537"/>
        <n v="340987"/>
        <n v="177376"/>
        <n v="143811"/>
        <n v="139266"/>
        <n v="165035"/>
        <n v="334887"/>
        <n v="265019"/>
        <n v="368454"/>
        <n v="176902"/>
        <n v="333851"/>
        <n v="182759"/>
        <n v="68724"/>
        <n v="92025"/>
        <n v="236238"/>
        <n v="353538"/>
        <n v="79423"/>
        <n v="266350"/>
        <n v="154977"/>
        <n v="362441"/>
        <n v="111293"/>
        <n v="178615"/>
        <n v="293894"/>
        <n v="61445"/>
        <n v="340557"/>
        <n v="272534"/>
        <n v="116538"/>
        <n v="318098"/>
        <n v="62837"/>
        <n v="95885"/>
        <n v="102102"/>
        <n v="169688"/>
        <n v="64444"/>
        <n v="362559"/>
        <n v="226881"/>
        <n v="272989"/>
        <n v="348686"/>
        <n v="397607"/>
        <n v="271935"/>
        <n v="119054"/>
        <n v="350949"/>
        <n v="121431"/>
        <n v="87126"/>
        <n v="360759"/>
        <n v="285164"/>
        <n v="373274"/>
        <n v="240598"/>
        <n v="216500"/>
        <n v="250428"/>
        <n v="246567"/>
        <n v="171670"/>
        <n v="218228"/>
        <n v="308533"/>
        <n v="149916"/>
        <n v="260204"/>
        <n v="300397"/>
        <n v="189622"/>
        <n v="380606"/>
        <n v="313562"/>
        <n v="168170"/>
        <n v="345688"/>
        <n v="147656"/>
        <n v="123272"/>
        <n v="326791"/>
        <n v="354816"/>
        <n v="89918"/>
        <n v="252763"/>
        <n v="376358"/>
        <n v="346890"/>
        <n v="116742"/>
        <n v="167310"/>
        <n v="82265"/>
        <n v="277445"/>
        <n v="352178"/>
        <n v="345659"/>
        <n v="338561"/>
        <n v="283278"/>
        <n v="374952"/>
        <n v="296031"/>
        <n v="269082"/>
        <n v="184911"/>
        <n v="177452"/>
        <n v="194811"/>
        <n v="327722"/>
        <n v="140300"/>
        <n v="75960"/>
        <n v="144049"/>
      </sharedItems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6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9/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6/3/2024"/>
          <s v="Qtr1"/>
          <s v="Qtr2"/>
          <s v="Qtr3"/>
          <s v="Qtr4"/>
          <s v="&gt;9/9/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6/3/2024"/>
          <s v="2024"/>
          <s v="2025"/>
          <s v="&gt;9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x v="0"/>
    <n v="45292"/>
    <n v="133"/>
    <x v="0"/>
    <x v="0"/>
  </r>
  <r>
    <s v="SP002"/>
    <x v="0"/>
    <d v="2025-02-01T00:00:00"/>
    <x v="0"/>
    <s v="Explore the latest podcasts now."/>
    <n v="1934"/>
    <n v="210"/>
    <n v="393"/>
    <x v="1"/>
    <n v="73287"/>
    <n v="273"/>
    <x v="1"/>
    <x v="1"/>
  </r>
  <r>
    <s v="SP003"/>
    <x v="1"/>
    <d v="2024-12-03T00:00:00"/>
    <x v="1"/>
    <s v="New music just dropped. Hit play!"/>
    <n v="3092"/>
    <n v="177"/>
    <n v="81"/>
    <x v="2"/>
    <n v="29220"/>
    <n v="121"/>
    <x v="2"/>
    <x v="0"/>
  </r>
  <r>
    <s v="SP004"/>
    <x v="0"/>
    <d v="2024-12-03T00:00:00"/>
    <x v="0"/>
    <s v="Wrapped is here! Relive your top tracks ðŸŽ§"/>
    <n v="3173"/>
    <n v="229"/>
    <n v="197"/>
    <x v="3"/>
    <n v="21809"/>
    <n v="272"/>
    <x v="0"/>
    <x v="0"/>
  </r>
  <r>
    <s v="SP005"/>
    <x v="2"/>
    <d v="2024-04-06T00:00:00"/>
    <x v="0"/>
    <s v="Music that moves youâ€”only on Spotify."/>
    <n v="2748"/>
    <n v="145"/>
    <n v="315"/>
    <x v="4"/>
    <n v="61182"/>
    <n v="200"/>
    <x v="3"/>
    <x v="1"/>
  </r>
  <r>
    <s v="SP006"/>
    <x v="2"/>
    <d v="2024-06-13T00:00:00"/>
    <x v="0"/>
    <s v="Whatâ€™s your vibe today? #SpotifyHits"/>
    <n v="3882"/>
    <n v="239"/>
    <n v="275"/>
    <x v="5"/>
    <n v="44646"/>
    <n v="149"/>
    <x v="3"/>
    <x v="1"/>
  </r>
  <r>
    <s v="SP007"/>
    <x v="1"/>
    <d v="2024-12-19T00:00:00"/>
    <x v="1"/>
    <s v="Get into the groove with our new drop!"/>
    <n v="4674"/>
    <n v="409"/>
    <n v="327"/>
    <x v="6"/>
    <n v="63599"/>
    <n v="212"/>
    <x v="0"/>
    <x v="0"/>
  </r>
  <r>
    <s v="SP008"/>
    <x v="1"/>
    <d v="2024-05-09T00:00:00"/>
    <x v="1"/>
    <s v="Wrapped is here! Relive your top tracks ðŸŽ§"/>
    <n v="1428"/>
    <n v="347"/>
    <n v="67"/>
    <x v="7"/>
    <n v="19712"/>
    <n v="120"/>
    <x v="4"/>
    <x v="0"/>
  </r>
  <r>
    <s v="SP009"/>
    <x v="1"/>
    <d v="2025-06-15T00:00:00"/>
    <x v="0"/>
    <s v="Top trending tracks updated daily!"/>
    <n v="4432"/>
    <n v="223"/>
    <n v="299"/>
    <x v="8"/>
    <n v="21742"/>
    <n v="171"/>
    <x v="5"/>
    <x v="0"/>
  </r>
  <r>
    <s v="SP010"/>
    <x v="1"/>
    <d v="2024-12-04T00:00:00"/>
    <x v="0"/>
    <s v="Wrapped is here! Relive your top tracks ðŸŽ§"/>
    <n v="2357"/>
    <n v="274"/>
    <n v="172"/>
    <x v="9"/>
    <n v="66829"/>
    <n v="284"/>
    <x v="5"/>
    <x v="0"/>
  </r>
  <r>
    <s v="SP011"/>
    <x v="1"/>
    <d v="2024-03-06T00:00:00"/>
    <x v="0"/>
    <s v="Discover fresh beats on Spotify!"/>
    <n v="1971"/>
    <n v="370"/>
    <n v="306"/>
    <x v="10"/>
    <n v="27897"/>
    <n v="88"/>
    <x v="6"/>
    <x v="1"/>
  </r>
  <r>
    <s v="SP012"/>
    <x v="0"/>
    <d v="2024-05-14T00:00:00"/>
    <x v="0"/>
    <s v="Discover fresh beats on Spotify!"/>
    <n v="1485"/>
    <n v="353"/>
    <n v="244"/>
    <x v="11"/>
    <n v="38556"/>
    <n v="86"/>
    <x v="0"/>
    <x v="0"/>
  </r>
  <r>
    <s v="SP013"/>
    <x v="1"/>
    <d v="2025-06-18T00:00:00"/>
    <x v="1"/>
    <s v="Discover fresh beats on Spotify!"/>
    <n v="3956"/>
    <n v="319"/>
    <n v="61"/>
    <x v="12"/>
    <n v="28720"/>
    <n v="213"/>
    <x v="2"/>
    <x v="0"/>
  </r>
  <r>
    <s v="SP014"/>
    <x v="1"/>
    <d v="2024-10-08T00:00:00"/>
    <x v="0"/>
    <s v="From pop to podcasts, itâ€™s all here."/>
    <n v="2460"/>
    <n v="409"/>
    <n v="253"/>
    <x v="13"/>
    <n v="46122"/>
    <n v="264"/>
    <x v="5"/>
    <x v="0"/>
  </r>
  <r>
    <s v="SP015"/>
    <x v="1"/>
    <d v="2024-05-06T00:00:00"/>
    <x v="0"/>
    <s v="Your weekend playlist is waiting."/>
    <n v="3476"/>
    <n v="355"/>
    <n v="396"/>
    <x v="14"/>
    <n v="27285"/>
    <n v="179"/>
    <x v="5"/>
    <x v="0"/>
  </r>
  <r>
    <s v="SP016"/>
    <x v="1"/>
    <d v="2024-12-29T00:00:00"/>
    <x v="1"/>
    <s v="New music just dropped. Hit play!"/>
    <n v="4049"/>
    <n v="377"/>
    <n v="94"/>
    <x v="15"/>
    <n v="42875"/>
    <n v="172"/>
    <x v="2"/>
    <x v="0"/>
  </r>
  <r>
    <s v="SP017"/>
    <x v="1"/>
    <d v="2024-06-10T00:00:00"/>
    <x v="0"/>
    <s v="Whatâ€™s your vibe today? #SpotifyHits"/>
    <n v="1514"/>
    <n v="164"/>
    <n v="275"/>
    <x v="16"/>
    <n v="44389"/>
    <n v="83"/>
    <x v="5"/>
    <x v="0"/>
  </r>
  <r>
    <s v="SP018"/>
    <x v="0"/>
    <d v="2024-02-03T00:00:00"/>
    <x v="1"/>
    <s v="Music that moves youâ€”only on Spotify."/>
    <n v="4281"/>
    <n v="101"/>
    <n v="163"/>
    <x v="17"/>
    <n v="53382"/>
    <n v="235"/>
    <x v="5"/>
    <x v="2"/>
  </r>
  <r>
    <s v="SP019"/>
    <x v="2"/>
    <d v="2024-06-15T00:00:00"/>
    <x v="2"/>
    <s v="Get into the groove with our new drop!"/>
    <n v="1751"/>
    <n v="143"/>
    <n v="151"/>
    <x v="18"/>
    <n v="47729"/>
    <n v="95"/>
    <x v="7"/>
    <x v="3"/>
  </r>
  <r>
    <s v="SP020"/>
    <x v="0"/>
    <d v="2024-07-05T00:00:00"/>
    <x v="0"/>
    <s v="Your weekend playlist is waiting."/>
    <n v="3753"/>
    <n v="411"/>
    <n v="308"/>
    <x v="19"/>
    <n v="27678"/>
    <n v="90"/>
    <x v="1"/>
    <x v="1"/>
  </r>
  <r>
    <s v="SP021"/>
    <x v="0"/>
    <d v="2024-11-07T00:00:00"/>
    <x v="1"/>
    <s v="Wrapped is here! Relive your top tracks ðŸŽ§"/>
    <n v="1678"/>
    <n v="423"/>
    <n v="323"/>
    <x v="20"/>
    <n v="37945"/>
    <n v="230"/>
    <x v="5"/>
    <x v="2"/>
  </r>
  <r>
    <s v="SP022"/>
    <x v="0"/>
    <d v="2025-06-15T00:00:00"/>
    <x v="0"/>
    <s v="Whatâ€™s your vibe today? #SpotifyHits"/>
    <n v="4896"/>
    <n v="466"/>
    <n v="233"/>
    <x v="21"/>
    <n v="34270"/>
    <n v="84"/>
    <x v="0"/>
    <x v="0"/>
  </r>
  <r>
    <s v="SP023"/>
    <x v="2"/>
    <d v="2024-06-09T00:00:00"/>
    <x v="2"/>
    <s v="From pop to podcasts, itâ€™s all here."/>
    <n v="2786"/>
    <n v="368"/>
    <n v="208"/>
    <x v="22"/>
    <n v="39967"/>
    <n v="103"/>
    <x v="7"/>
    <x v="3"/>
  </r>
  <r>
    <s v="SP024"/>
    <x v="1"/>
    <d v="2024-10-18T00:00:00"/>
    <x v="0"/>
    <s v="New music just dropped. Hit play!"/>
    <n v="2607"/>
    <n v="379"/>
    <n v="180"/>
    <x v="23"/>
    <n v="61620"/>
    <n v="174"/>
    <x v="6"/>
    <x v="1"/>
  </r>
  <r>
    <s v="SP025"/>
    <x v="2"/>
    <d v="2024-10-10T00:00:00"/>
    <x v="2"/>
    <s v="From pop to podcasts, itâ€™s all here."/>
    <n v="4013"/>
    <n v="320"/>
    <n v="92"/>
    <x v="24"/>
    <n v="60169"/>
    <n v="232"/>
    <x v="7"/>
    <x v="3"/>
  </r>
  <r>
    <s v="SP026"/>
    <x v="1"/>
    <d v="2025-05-14T00:00:00"/>
    <x v="1"/>
    <s v="From pop to podcasts, itâ€™s all here."/>
    <n v="2707"/>
    <n v="103"/>
    <n v="51"/>
    <x v="25"/>
    <n v="18801"/>
    <n v="147"/>
    <x v="4"/>
    <x v="0"/>
  </r>
  <r>
    <s v="SP027"/>
    <x v="0"/>
    <d v="2024-11-29T00:00:00"/>
    <x v="0"/>
    <s v="Whatâ€™s your vibe today? #SpotifyHits"/>
    <n v="2824"/>
    <n v="425"/>
    <n v="274"/>
    <x v="26"/>
    <n v="53488"/>
    <n v="268"/>
    <x v="0"/>
    <x v="0"/>
  </r>
  <r>
    <s v="SP028"/>
    <x v="2"/>
    <d v="2024-03-05T00:00:00"/>
    <x v="2"/>
    <s v="Explore the latest podcasts now."/>
    <n v="3558"/>
    <n v="314"/>
    <n v="199"/>
    <x v="27"/>
    <n v="53929"/>
    <n v="206"/>
    <x v="7"/>
    <x v="3"/>
  </r>
  <r>
    <s v="SP029"/>
    <x v="1"/>
    <d v="2025-03-18T00:00:00"/>
    <x v="1"/>
    <s v="Explore the latest podcasts now."/>
    <n v="3418"/>
    <n v="188"/>
    <n v="387"/>
    <x v="28"/>
    <n v="36933"/>
    <n v="202"/>
    <x v="2"/>
    <x v="0"/>
  </r>
  <r>
    <s v="SP030"/>
    <x v="1"/>
    <d v="2025-04-26T00:00:00"/>
    <x v="0"/>
    <s v="Discover fresh beats on Spotify!"/>
    <n v="2411"/>
    <n v="194"/>
    <n v="168"/>
    <x v="29"/>
    <n v="71699"/>
    <n v="197"/>
    <x v="5"/>
    <x v="0"/>
  </r>
  <r>
    <s v="SP031"/>
    <x v="0"/>
    <d v="2025-01-01T00:00:00"/>
    <x v="0"/>
    <s v="New music just dropped. Hit play!"/>
    <n v="4036"/>
    <n v="112"/>
    <n v="382"/>
    <x v="30"/>
    <n v="29440"/>
    <n v="279"/>
    <x v="0"/>
    <x v="0"/>
  </r>
  <r>
    <s v="SP032"/>
    <x v="1"/>
    <d v="2024-05-07T00:00:00"/>
    <x v="1"/>
    <s v="Explore the latest podcasts now."/>
    <n v="2776"/>
    <n v="307"/>
    <n v="178"/>
    <x v="31"/>
    <n v="48408"/>
    <n v="138"/>
    <x v="0"/>
    <x v="0"/>
  </r>
  <r>
    <s v="SP033"/>
    <x v="1"/>
    <d v="2024-10-09T00:00:00"/>
    <x v="1"/>
    <s v="Discover fresh beats on Spotify!"/>
    <n v="4929"/>
    <n v="182"/>
    <n v="95"/>
    <x v="32"/>
    <n v="31084"/>
    <n v="289"/>
    <x v="4"/>
    <x v="0"/>
  </r>
  <r>
    <s v="SP034"/>
    <x v="0"/>
    <d v="2025-01-09T00:00:00"/>
    <x v="0"/>
    <s v="New music just dropped. Hit play!"/>
    <n v="1015"/>
    <n v="366"/>
    <n v="308"/>
    <x v="33"/>
    <n v="63790"/>
    <n v="287"/>
    <x v="0"/>
    <x v="0"/>
  </r>
  <r>
    <s v="SP035"/>
    <x v="1"/>
    <d v="2025-05-08T00:00:00"/>
    <x v="1"/>
    <s v="Your weekend playlist is waiting."/>
    <n v="3316"/>
    <n v="332"/>
    <n v="268"/>
    <x v="34"/>
    <n v="36913"/>
    <n v="265"/>
    <x v="2"/>
    <x v="0"/>
  </r>
  <r>
    <s v="SP036"/>
    <x v="0"/>
    <d v="2024-05-04T00:00:00"/>
    <x v="0"/>
    <s v="Wrapped is here! Relive your top tracks ðŸŽ§"/>
    <n v="2274"/>
    <n v="243"/>
    <n v="222"/>
    <x v="35"/>
    <n v="59174"/>
    <n v="80"/>
    <x v="1"/>
    <x v="1"/>
  </r>
  <r>
    <s v="SP037"/>
    <x v="1"/>
    <d v="2025-05-27T00:00:00"/>
    <x v="1"/>
    <s v="Explore the latest podcasts now."/>
    <n v="4095"/>
    <n v="385"/>
    <n v="400"/>
    <x v="36"/>
    <n v="31795"/>
    <n v="80"/>
    <x v="2"/>
    <x v="0"/>
  </r>
  <r>
    <s v="SP038"/>
    <x v="0"/>
    <d v="2024-09-10T00:00:00"/>
    <x v="1"/>
    <s v="New music just dropped. Hit play!"/>
    <n v="1230"/>
    <n v="309"/>
    <n v="207"/>
    <x v="37"/>
    <n v="40699"/>
    <n v="195"/>
    <x v="5"/>
    <x v="2"/>
  </r>
  <r>
    <s v="SP039"/>
    <x v="0"/>
    <d v="2024-11-25T00:00:00"/>
    <x v="0"/>
    <s v="From pop to podcasts, itâ€™s all here."/>
    <n v="1341"/>
    <n v="472"/>
    <n v="238"/>
    <x v="38"/>
    <n v="51706"/>
    <n v="133"/>
    <x v="1"/>
    <x v="1"/>
  </r>
  <r>
    <s v="SP040"/>
    <x v="1"/>
    <d v="2025-06-10T00:00:00"/>
    <x v="0"/>
    <s v="Explore the latest podcasts now."/>
    <n v="3615"/>
    <n v="192"/>
    <n v="162"/>
    <x v="39"/>
    <n v="35341"/>
    <n v="125"/>
    <x v="5"/>
    <x v="0"/>
  </r>
  <r>
    <s v="SP041"/>
    <x v="0"/>
    <d v="2024-04-19T00:00:00"/>
    <x v="0"/>
    <s v="New music just dropped. Hit play!"/>
    <n v="4001"/>
    <n v="353"/>
    <n v="129"/>
    <x v="40"/>
    <n v="37279"/>
    <n v="275"/>
    <x v="0"/>
    <x v="0"/>
  </r>
  <r>
    <s v="SP042"/>
    <x v="0"/>
    <d v="2025-01-26T00:00:00"/>
    <x v="1"/>
    <s v="Whatâ€™s your vibe today? #SpotifyHits"/>
    <n v="3451"/>
    <n v="363"/>
    <n v="393"/>
    <x v="41"/>
    <n v="69032"/>
    <n v="211"/>
    <x v="5"/>
    <x v="2"/>
  </r>
  <r>
    <s v="SP043"/>
    <x v="0"/>
    <d v="2025-02-14T00:00:00"/>
    <x v="0"/>
    <s v="Top trending tracks updated daily!"/>
    <n v="4891"/>
    <n v="450"/>
    <n v="387"/>
    <x v="42"/>
    <n v="37312"/>
    <n v="154"/>
    <x v="0"/>
    <x v="0"/>
  </r>
  <r>
    <s v="SP044"/>
    <x v="0"/>
    <d v="2024-09-06T00:00:00"/>
    <x v="0"/>
    <s v="New music just dropped. Hit play!"/>
    <n v="1452"/>
    <n v="281"/>
    <n v="326"/>
    <x v="43"/>
    <n v="62599"/>
    <n v="290"/>
    <x v="1"/>
    <x v="1"/>
  </r>
  <r>
    <s v="SP045"/>
    <x v="2"/>
    <d v="2024-07-14T00:00:00"/>
    <x v="0"/>
    <s v="Your weekend playlist is waiting."/>
    <n v="3806"/>
    <n v="114"/>
    <n v="278"/>
    <x v="44"/>
    <n v="24209"/>
    <n v="201"/>
    <x v="3"/>
    <x v="1"/>
  </r>
  <r>
    <s v="SP046"/>
    <x v="0"/>
    <d v="2024-02-12T00:00:00"/>
    <x v="0"/>
    <s v="Explore the latest podcasts now."/>
    <n v="2923"/>
    <n v="330"/>
    <n v="250"/>
    <x v="45"/>
    <n v="74590"/>
    <n v="92"/>
    <x v="1"/>
    <x v="1"/>
  </r>
  <r>
    <s v="SP047"/>
    <x v="2"/>
    <d v="2024-03-14T00:00:00"/>
    <x v="2"/>
    <s v="From pop to podcasts, itâ€™s all here."/>
    <n v="3361"/>
    <n v="188"/>
    <n v="358"/>
    <x v="46"/>
    <n v="24536"/>
    <n v="120"/>
    <x v="7"/>
    <x v="3"/>
  </r>
  <r>
    <s v="SP048"/>
    <x v="0"/>
    <d v="2025-02-05T00:00:00"/>
    <x v="1"/>
    <s v="Music that moves youâ€”only on Spotify."/>
    <n v="3074"/>
    <n v="371"/>
    <n v="348"/>
    <x v="47"/>
    <n v="57803"/>
    <n v="213"/>
    <x v="5"/>
    <x v="2"/>
  </r>
  <r>
    <s v="SP049"/>
    <x v="1"/>
    <d v="2024-08-29T00:00:00"/>
    <x v="1"/>
    <s v="Get into the groove with our new drop!"/>
    <n v="4276"/>
    <n v="227"/>
    <n v="223"/>
    <x v="48"/>
    <n v="41005"/>
    <n v="191"/>
    <x v="4"/>
    <x v="0"/>
  </r>
  <r>
    <s v="SP050"/>
    <x v="1"/>
    <d v="2025-04-22T00:00:00"/>
    <x v="0"/>
    <s v="Discover fresh beats on Spotify!"/>
    <n v="4401"/>
    <n v="421"/>
    <n v="216"/>
    <x v="49"/>
    <n v="54361"/>
    <n v="148"/>
    <x v="5"/>
    <x v="0"/>
  </r>
  <r>
    <s v="SP051"/>
    <x v="2"/>
    <d v="2024-05-13T00:00:00"/>
    <x v="2"/>
    <s v="Explore the latest podcasts now."/>
    <n v="4161"/>
    <n v="481"/>
    <n v="61"/>
    <x v="50"/>
    <n v="48955"/>
    <n v="215"/>
    <x v="7"/>
    <x v="3"/>
  </r>
  <r>
    <s v="SP052"/>
    <x v="1"/>
    <d v="2024-09-04T00:00:00"/>
    <x v="1"/>
    <s v="New music just dropped. Hit play!"/>
    <n v="2613"/>
    <n v="455"/>
    <n v="228"/>
    <x v="51"/>
    <n v="61334"/>
    <n v="261"/>
    <x v="4"/>
    <x v="0"/>
  </r>
  <r>
    <s v="SP053"/>
    <x v="1"/>
    <d v="2024-08-12T00:00:00"/>
    <x v="1"/>
    <s v="Whatâ€™s your vibe today? #SpotifyHits"/>
    <n v="2842"/>
    <n v="213"/>
    <n v="331"/>
    <x v="52"/>
    <n v="68606"/>
    <n v="87"/>
    <x v="2"/>
    <x v="0"/>
  </r>
  <r>
    <s v="SP054"/>
    <x v="0"/>
    <d v="2025-03-06T00:00:00"/>
    <x v="0"/>
    <s v="Get into the groove with our new drop!"/>
    <n v="4851"/>
    <n v="460"/>
    <n v="212"/>
    <x v="53"/>
    <n v="59574"/>
    <n v="239"/>
    <x v="1"/>
    <x v="1"/>
  </r>
  <r>
    <s v="SP055"/>
    <x v="1"/>
    <d v="2024-05-08T00:00:00"/>
    <x v="0"/>
    <s v="Explore the latest podcasts now."/>
    <n v="1828"/>
    <n v="450"/>
    <n v="214"/>
    <x v="54"/>
    <n v="19166"/>
    <n v="190"/>
    <x v="5"/>
    <x v="0"/>
  </r>
  <r>
    <s v="SP056"/>
    <x v="0"/>
    <d v="2025-02-19T00:00:00"/>
    <x v="1"/>
    <s v="From pop to podcasts, itâ€™s all here."/>
    <n v="2422"/>
    <n v="455"/>
    <n v="376"/>
    <x v="55"/>
    <n v="46775"/>
    <n v="259"/>
    <x v="5"/>
    <x v="2"/>
  </r>
  <r>
    <s v="SP057"/>
    <x v="0"/>
    <d v="2024-01-08T00:00:00"/>
    <x v="0"/>
    <s v="Top trending tracks updated daily!"/>
    <n v="2683"/>
    <n v="405"/>
    <n v="223"/>
    <x v="56"/>
    <n v="58106"/>
    <n v="291"/>
    <x v="1"/>
    <x v="1"/>
  </r>
  <r>
    <s v="SP058"/>
    <x v="2"/>
    <d v="2024-07-17T00:00:00"/>
    <x v="0"/>
    <s v="Top trending tracks updated daily!"/>
    <n v="3135"/>
    <n v="110"/>
    <n v="215"/>
    <x v="57"/>
    <n v="24744"/>
    <n v="177"/>
    <x v="3"/>
    <x v="1"/>
  </r>
  <r>
    <s v="SP059"/>
    <x v="2"/>
    <d v="2024-08-10T00:00:00"/>
    <x v="0"/>
    <s v="From pop to podcasts, itâ€™s all here."/>
    <n v="1105"/>
    <n v="181"/>
    <n v="55"/>
    <x v="58"/>
    <n v="74048"/>
    <n v="220"/>
    <x v="3"/>
    <x v="1"/>
  </r>
  <r>
    <s v="SP060"/>
    <x v="2"/>
    <d v="2024-04-16T00:00:00"/>
    <x v="0"/>
    <s v="Discover fresh beats on Spotify!"/>
    <n v="4674"/>
    <n v="326"/>
    <n v="62"/>
    <x v="59"/>
    <n v="46814"/>
    <n v="116"/>
    <x v="3"/>
    <x v="1"/>
  </r>
  <r>
    <s v="SP061"/>
    <x v="2"/>
    <d v="2024-01-01T00:00:00"/>
    <x v="2"/>
    <s v="Explore the latest podcasts now."/>
    <n v="3437"/>
    <n v="129"/>
    <n v="359"/>
    <x v="60"/>
    <n v="30854"/>
    <n v="171"/>
    <x v="7"/>
    <x v="3"/>
  </r>
  <r>
    <s v="SP062"/>
    <x v="1"/>
    <d v="2024-11-03T00:00:00"/>
    <x v="1"/>
    <s v="Wrapped is here! Relive your top tracks ðŸŽ§"/>
    <n v="1959"/>
    <n v="316"/>
    <n v="82"/>
    <x v="61"/>
    <n v="69015"/>
    <n v="182"/>
    <x v="2"/>
    <x v="0"/>
  </r>
  <r>
    <s v="SP063"/>
    <x v="1"/>
    <d v="2024-07-07T00:00:00"/>
    <x v="0"/>
    <s v="New music just dropped. Hit play!"/>
    <n v="1035"/>
    <n v="137"/>
    <n v="184"/>
    <x v="62"/>
    <n v="68953"/>
    <n v="237"/>
    <x v="6"/>
    <x v="1"/>
  </r>
  <r>
    <s v="SP064"/>
    <x v="1"/>
    <d v="2025-01-22T00:00:00"/>
    <x v="1"/>
    <s v="New music just dropped. Hit play!"/>
    <n v="4478"/>
    <n v="101"/>
    <n v="121"/>
    <x v="63"/>
    <n v="58207"/>
    <n v="205"/>
    <x v="2"/>
    <x v="0"/>
  </r>
  <r>
    <s v="SP065"/>
    <x v="2"/>
    <d v="2024-05-26T00:00:00"/>
    <x v="0"/>
    <s v="From pop to podcasts, itâ€™s all here."/>
    <n v="1488"/>
    <n v="327"/>
    <n v="110"/>
    <x v="64"/>
    <n v="30239"/>
    <n v="109"/>
    <x v="3"/>
    <x v="1"/>
  </r>
  <r>
    <s v="SP066"/>
    <x v="0"/>
    <d v="2025-04-16T00:00:00"/>
    <x v="0"/>
    <s v="Wrapped is here! Relive your top tracks ðŸŽ§"/>
    <n v="4836"/>
    <n v="331"/>
    <n v="140"/>
    <x v="65"/>
    <n v="47711"/>
    <n v="227"/>
    <x v="0"/>
    <x v="0"/>
  </r>
  <r>
    <s v="SP067"/>
    <x v="2"/>
    <d v="2024-04-02T00:00:00"/>
    <x v="2"/>
    <s v="Your weekend playlist is waiting."/>
    <n v="4563"/>
    <n v="488"/>
    <n v="356"/>
    <x v="66"/>
    <n v="23328"/>
    <n v="267"/>
    <x v="7"/>
    <x v="3"/>
  </r>
  <r>
    <s v="SP068"/>
    <x v="1"/>
    <d v="2024-03-28T00:00:00"/>
    <x v="0"/>
    <s v="Music that moves youâ€”only on Spotify."/>
    <n v="3276"/>
    <n v="421"/>
    <n v="114"/>
    <x v="67"/>
    <n v="30324"/>
    <n v="221"/>
    <x v="6"/>
    <x v="1"/>
  </r>
  <r>
    <s v="SP069"/>
    <x v="1"/>
    <d v="2024-12-17T00:00:00"/>
    <x v="1"/>
    <s v="Music that moves youâ€”only on Spotify."/>
    <n v="1316"/>
    <n v="472"/>
    <n v="286"/>
    <x v="68"/>
    <n v="53343"/>
    <n v="227"/>
    <x v="4"/>
    <x v="0"/>
  </r>
  <r>
    <s v="SP070"/>
    <x v="1"/>
    <d v="2025-01-05T00:00:00"/>
    <x v="0"/>
    <s v="Wrapped is here! Relive your top tracks ðŸŽ§"/>
    <n v="4811"/>
    <n v="473"/>
    <n v="254"/>
    <x v="69"/>
    <n v="68795"/>
    <n v="107"/>
    <x v="5"/>
    <x v="0"/>
  </r>
  <r>
    <s v="SP071"/>
    <x v="1"/>
    <d v="2024-01-11T00:00:00"/>
    <x v="0"/>
    <s v="Whatâ€™s your vibe today? #SpotifyHits"/>
    <n v="4218"/>
    <n v="247"/>
    <n v="183"/>
    <x v="70"/>
    <n v="18310"/>
    <n v="135"/>
    <x v="6"/>
    <x v="1"/>
  </r>
  <r>
    <s v="SP072"/>
    <x v="0"/>
    <d v="2024-10-11T00:00:00"/>
    <x v="0"/>
    <s v="From pop to podcasts, itâ€™s all here."/>
    <n v="1360"/>
    <n v="249"/>
    <n v="52"/>
    <x v="71"/>
    <n v="42152"/>
    <n v="193"/>
    <x v="1"/>
    <x v="1"/>
  </r>
  <r>
    <s v="SP073"/>
    <x v="2"/>
    <d v="2025-05-06T00:00:00"/>
    <x v="2"/>
    <s v="Discover fresh beats on Spotify!"/>
    <n v="1085"/>
    <n v="496"/>
    <n v="320"/>
    <x v="72"/>
    <n v="38599"/>
    <n v="270"/>
    <x v="7"/>
    <x v="3"/>
  </r>
  <r>
    <s v="SP074"/>
    <x v="1"/>
    <d v="2024-05-19T00:00:00"/>
    <x v="1"/>
    <s v="Get into the groove with our new drop!"/>
    <n v="1763"/>
    <n v="206"/>
    <n v="187"/>
    <x v="73"/>
    <n v="25095"/>
    <n v="88"/>
    <x v="4"/>
    <x v="0"/>
  </r>
  <r>
    <s v="SP075"/>
    <x v="1"/>
    <d v="2024-01-22T00:00:00"/>
    <x v="1"/>
    <s v="From pop to podcasts, itâ€™s all here."/>
    <n v="1554"/>
    <n v="455"/>
    <n v="158"/>
    <x v="74"/>
    <n v="48578"/>
    <n v="101"/>
    <x v="0"/>
    <x v="0"/>
  </r>
  <r>
    <s v="SP076"/>
    <x v="0"/>
    <d v="2024-07-14T00:00:00"/>
    <x v="0"/>
    <s v="Wrapped is here! Relive your top tracks ðŸŽ§"/>
    <n v="2464"/>
    <n v="401"/>
    <n v="78"/>
    <x v="75"/>
    <n v="73593"/>
    <n v="207"/>
    <x v="1"/>
    <x v="1"/>
  </r>
  <r>
    <s v="SP077"/>
    <x v="1"/>
    <d v="2025-05-28T00:00:00"/>
    <x v="0"/>
    <s v="From pop to podcasts, itâ€™s all here."/>
    <n v="2418"/>
    <n v="161"/>
    <n v="360"/>
    <x v="76"/>
    <n v="41383"/>
    <n v="88"/>
    <x v="5"/>
    <x v="0"/>
  </r>
  <r>
    <s v="SP078"/>
    <x v="1"/>
    <d v="2025-01-21T00:00:00"/>
    <x v="1"/>
    <s v="Discover fresh beats on Spotify!"/>
    <n v="2494"/>
    <n v="494"/>
    <n v="55"/>
    <x v="77"/>
    <n v="22214"/>
    <n v="109"/>
    <x v="2"/>
    <x v="0"/>
  </r>
  <r>
    <s v="SP079"/>
    <x v="2"/>
    <d v="2024-01-13T00:00:00"/>
    <x v="2"/>
    <s v="New music just dropped. Hit play!"/>
    <n v="4781"/>
    <n v="191"/>
    <n v="122"/>
    <x v="78"/>
    <n v="50777"/>
    <n v="128"/>
    <x v="7"/>
    <x v="3"/>
  </r>
  <r>
    <s v="SP080"/>
    <x v="0"/>
    <d v="2025-06-17T00:00:00"/>
    <x v="0"/>
    <s v="Music that moves youâ€”only on Spotify."/>
    <n v="2284"/>
    <n v="187"/>
    <n v="260"/>
    <x v="79"/>
    <n v="65014"/>
    <n v="157"/>
    <x v="0"/>
    <x v="0"/>
  </r>
  <r>
    <s v="SP081"/>
    <x v="1"/>
    <d v="2025-03-07T00:00:00"/>
    <x v="0"/>
    <s v="Get into the groove with our new drop!"/>
    <n v="4234"/>
    <n v="486"/>
    <n v="276"/>
    <x v="80"/>
    <n v="41343"/>
    <n v="184"/>
    <x v="6"/>
    <x v="1"/>
  </r>
  <r>
    <s v="SP082"/>
    <x v="0"/>
    <d v="2024-08-26T00:00:00"/>
    <x v="0"/>
    <s v="Your weekend playlist is waiting."/>
    <n v="2102"/>
    <n v="181"/>
    <n v="306"/>
    <x v="81"/>
    <n v="50079"/>
    <n v="182"/>
    <x v="1"/>
    <x v="1"/>
  </r>
  <r>
    <s v="SP083"/>
    <x v="1"/>
    <d v="2025-01-03T00:00:00"/>
    <x v="1"/>
    <s v="Get into the groove with our new drop!"/>
    <n v="4845"/>
    <n v="158"/>
    <n v="84"/>
    <x v="82"/>
    <n v="51480"/>
    <n v="180"/>
    <x v="0"/>
    <x v="0"/>
  </r>
  <r>
    <s v="SP084"/>
    <x v="1"/>
    <d v="2024-08-03T00:00:00"/>
    <x v="0"/>
    <s v="Your weekend playlist is waiting."/>
    <n v="4247"/>
    <n v="390"/>
    <n v="213"/>
    <x v="83"/>
    <n v="57768"/>
    <n v="122"/>
    <x v="5"/>
    <x v="0"/>
  </r>
  <r>
    <s v="SP085"/>
    <x v="0"/>
    <d v="2024-08-18T00:00:00"/>
    <x v="0"/>
    <s v="Explore the latest podcasts now."/>
    <n v="2965"/>
    <n v="328"/>
    <n v="171"/>
    <x v="84"/>
    <n v="67536"/>
    <n v="264"/>
    <x v="0"/>
    <x v="0"/>
  </r>
  <r>
    <s v="SP086"/>
    <x v="1"/>
    <d v="2025-05-14T00:00:00"/>
    <x v="1"/>
    <s v="Wrapped is here! Relive your top tracks ðŸŽ§"/>
    <n v="1371"/>
    <n v="139"/>
    <n v="96"/>
    <x v="85"/>
    <n v="39395"/>
    <n v="169"/>
    <x v="0"/>
    <x v="0"/>
  </r>
  <r>
    <s v="SP087"/>
    <x v="1"/>
    <d v="2024-04-23T00:00:00"/>
    <x v="1"/>
    <s v="Discover fresh beats on Spotify!"/>
    <n v="2683"/>
    <n v="496"/>
    <n v="89"/>
    <x v="86"/>
    <n v="30334"/>
    <n v="160"/>
    <x v="0"/>
    <x v="0"/>
  </r>
  <r>
    <s v="SP088"/>
    <x v="1"/>
    <d v="2025-02-17T00:00:00"/>
    <x v="1"/>
    <s v="Whatâ€™s your vibe today? #SpotifyHits"/>
    <n v="4796"/>
    <n v="427"/>
    <n v="339"/>
    <x v="87"/>
    <n v="33870"/>
    <n v="298"/>
    <x v="0"/>
    <x v="0"/>
  </r>
  <r>
    <s v="SP089"/>
    <x v="0"/>
    <d v="2024-12-04T00:00:00"/>
    <x v="0"/>
    <s v="Wrapped is here! Relive your top tracks ðŸŽ§"/>
    <n v="2601"/>
    <n v="336"/>
    <n v="260"/>
    <x v="88"/>
    <n v="49028"/>
    <n v="120"/>
    <x v="0"/>
    <x v="0"/>
  </r>
  <r>
    <s v="SP090"/>
    <x v="1"/>
    <d v="2024-07-22T00:00:00"/>
    <x v="1"/>
    <s v="Wrapped is here! Relive your top tracks ðŸŽ§"/>
    <n v="3336"/>
    <n v="229"/>
    <n v="337"/>
    <x v="89"/>
    <n v="26205"/>
    <n v="160"/>
    <x v="2"/>
    <x v="0"/>
  </r>
  <r>
    <s v="SP091"/>
    <x v="1"/>
    <d v="2025-04-27T00:00:00"/>
    <x v="0"/>
    <s v="Explore the latest podcasts now."/>
    <n v="1165"/>
    <n v="294"/>
    <n v="163"/>
    <x v="90"/>
    <n v="45926"/>
    <n v="111"/>
    <x v="6"/>
    <x v="1"/>
  </r>
  <r>
    <s v="SP092"/>
    <x v="2"/>
    <d v="2024-03-25T00:00:00"/>
    <x v="2"/>
    <s v="Explore the latest podcasts now."/>
    <n v="1948"/>
    <n v="155"/>
    <n v="315"/>
    <x v="91"/>
    <n v="57121"/>
    <n v="82"/>
    <x v="7"/>
    <x v="3"/>
  </r>
  <r>
    <s v="SP093"/>
    <x v="0"/>
    <d v="2024-02-29T00:00:00"/>
    <x v="0"/>
    <s v="From pop to podcasts, itâ€™s all here."/>
    <n v="1100"/>
    <n v="229"/>
    <n v="312"/>
    <x v="92"/>
    <n v="34601"/>
    <n v="169"/>
    <x v="1"/>
    <x v="1"/>
  </r>
  <r>
    <s v="SP094"/>
    <x v="1"/>
    <d v="2024-11-13T00:00:00"/>
    <x v="1"/>
    <s v="Top trending tracks updated daily!"/>
    <n v="4628"/>
    <n v="257"/>
    <n v="397"/>
    <x v="93"/>
    <n v="54683"/>
    <n v="98"/>
    <x v="0"/>
    <x v="0"/>
  </r>
  <r>
    <s v="SP095"/>
    <x v="0"/>
    <d v="2024-03-22T00:00:00"/>
    <x v="1"/>
    <s v="Discover fresh beats on Spotify!"/>
    <n v="2319"/>
    <n v="484"/>
    <n v="193"/>
    <x v="94"/>
    <n v="18091"/>
    <n v="241"/>
    <x v="5"/>
    <x v="2"/>
  </r>
  <r>
    <s v="SP096"/>
    <x v="1"/>
    <d v="2024-03-16T00:00:00"/>
    <x v="1"/>
    <s v="Wrapped is here! Relive your top tracks ðŸŽ§"/>
    <n v="2895"/>
    <n v="292"/>
    <n v="90"/>
    <x v="95"/>
    <n v="54626"/>
    <n v="114"/>
    <x v="0"/>
    <x v="0"/>
  </r>
  <r>
    <s v="SP097"/>
    <x v="0"/>
    <d v="2024-01-26T00:00:00"/>
    <x v="0"/>
    <s v="Whatâ€™s your vibe today? #SpotifyHits"/>
    <n v="3878"/>
    <n v="431"/>
    <n v="97"/>
    <x v="96"/>
    <n v="29729"/>
    <n v="191"/>
    <x v="1"/>
    <x v="1"/>
  </r>
  <r>
    <s v="SP098"/>
    <x v="1"/>
    <d v="2024-03-15T00:00:00"/>
    <x v="1"/>
    <s v="Get into the groove with our new drop!"/>
    <n v="4969"/>
    <n v="433"/>
    <n v="237"/>
    <x v="97"/>
    <n v="23885"/>
    <n v="157"/>
    <x v="4"/>
    <x v="0"/>
  </r>
  <r>
    <s v="SP099"/>
    <x v="1"/>
    <d v="2024-10-15T00:00:00"/>
    <x v="0"/>
    <s v="Wrapped is here! Relive your top tracks ðŸŽ§"/>
    <n v="1984"/>
    <n v="481"/>
    <n v="356"/>
    <x v="98"/>
    <n v="63111"/>
    <n v="258"/>
    <x v="5"/>
    <x v="0"/>
  </r>
  <r>
    <s v="SP100"/>
    <x v="0"/>
    <d v="2024-07-21T00:00:00"/>
    <x v="0"/>
    <s v="Discover fresh beats on Spotify!"/>
    <n v="3004"/>
    <n v="415"/>
    <n v="218"/>
    <x v="99"/>
    <n v="37073"/>
    <n v="181"/>
    <x v="1"/>
    <x v="1"/>
  </r>
  <r>
    <s v="SP101"/>
    <x v="1"/>
    <d v="2024-10-12T00:00:00"/>
    <x v="0"/>
    <s v="Get into the groove with our new drop!"/>
    <n v="3169"/>
    <n v="386"/>
    <n v="175"/>
    <x v="100"/>
    <n v="38508"/>
    <n v="218"/>
    <x v="5"/>
    <x v="0"/>
  </r>
  <r>
    <s v="SP102"/>
    <x v="1"/>
    <d v="2024-10-26T00:00:00"/>
    <x v="0"/>
    <s v="Discover fresh beats on Spotify!"/>
    <n v="3036"/>
    <n v="293"/>
    <n v="115"/>
    <x v="101"/>
    <n v="46386"/>
    <n v="282"/>
    <x v="5"/>
    <x v="0"/>
  </r>
  <r>
    <s v="SP103"/>
    <x v="0"/>
    <d v="2024-02-14T00:00:00"/>
    <x v="0"/>
    <s v="Music that moves youâ€”only on Spotify."/>
    <n v="1830"/>
    <n v="112"/>
    <n v="181"/>
    <x v="102"/>
    <n v="55742"/>
    <n v="263"/>
    <x v="0"/>
    <x v="0"/>
  </r>
  <r>
    <s v="SP104"/>
    <x v="1"/>
    <d v="2024-05-01T00:00:00"/>
    <x v="1"/>
    <s v="Whatâ€™s your vibe today? #SpotifyHits"/>
    <n v="2587"/>
    <n v="447"/>
    <n v="183"/>
    <x v="103"/>
    <n v="32877"/>
    <n v="132"/>
    <x v="4"/>
    <x v="0"/>
  </r>
  <r>
    <s v="SP105"/>
    <x v="1"/>
    <d v="2024-09-18T00:00:00"/>
    <x v="0"/>
    <s v="Discover fresh beats on Spotify!"/>
    <n v="2878"/>
    <n v="265"/>
    <n v="91"/>
    <x v="104"/>
    <n v="28924"/>
    <n v="133"/>
    <x v="5"/>
    <x v="0"/>
  </r>
  <r>
    <s v="SP106"/>
    <x v="1"/>
    <d v="2025-01-20T00:00:00"/>
    <x v="1"/>
    <s v="New music just dropped. Hit play!"/>
    <n v="4619"/>
    <n v="272"/>
    <n v="57"/>
    <x v="105"/>
    <n v="46292"/>
    <n v="91"/>
    <x v="0"/>
    <x v="0"/>
  </r>
  <r>
    <s v="SP107"/>
    <x v="1"/>
    <d v="2025-01-13T00:00:00"/>
    <x v="0"/>
    <s v="Music that moves youâ€”only on Spotify."/>
    <n v="4090"/>
    <n v="209"/>
    <n v="278"/>
    <x v="106"/>
    <n v="57084"/>
    <n v="102"/>
    <x v="6"/>
    <x v="1"/>
  </r>
  <r>
    <s v="SP108"/>
    <x v="2"/>
    <d v="2024-09-07T00:00:00"/>
    <x v="2"/>
    <s v="Music that moves youâ€”only on Spotify."/>
    <n v="3882"/>
    <n v="342"/>
    <n v="374"/>
    <x v="107"/>
    <n v="48554"/>
    <n v="118"/>
    <x v="7"/>
    <x v="3"/>
  </r>
  <r>
    <s v="SP109"/>
    <x v="0"/>
    <d v="2024-11-21T00:00:00"/>
    <x v="0"/>
    <s v="Music that moves youâ€”only on Spotify."/>
    <n v="4581"/>
    <n v="181"/>
    <n v="112"/>
    <x v="108"/>
    <n v="28797"/>
    <n v="164"/>
    <x v="0"/>
    <x v="0"/>
  </r>
  <r>
    <s v="SP110"/>
    <x v="0"/>
    <d v="2024-06-26T00:00:00"/>
    <x v="0"/>
    <s v="New music just dropped. Hit play!"/>
    <n v="3253"/>
    <n v="483"/>
    <n v="336"/>
    <x v="109"/>
    <n v="51485"/>
    <n v="131"/>
    <x v="1"/>
    <x v="1"/>
  </r>
  <r>
    <s v="SP111"/>
    <x v="2"/>
    <d v="2024-07-20T00:00:00"/>
    <x v="2"/>
    <s v="Music that moves youâ€”only on Spotify."/>
    <n v="4955"/>
    <n v="299"/>
    <n v="345"/>
    <x v="110"/>
    <n v="43547"/>
    <n v="194"/>
    <x v="7"/>
    <x v="3"/>
  </r>
  <r>
    <s v="SP112"/>
    <x v="0"/>
    <d v="2025-02-16T00:00:00"/>
    <x v="0"/>
    <s v="Your weekend playlist is waiting."/>
    <n v="1333"/>
    <n v="286"/>
    <n v="298"/>
    <x v="111"/>
    <n v="34517"/>
    <n v="170"/>
    <x v="0"/>
    <x v="0"/>
  </r>
  <r>
    <s v="SP113"/>
    <x v="0"/>
    <d v="2024-09-09T00:00:00"/>
    <x v="0"/>
    <s v="New music just dropped. Hit play!"/>
    <n v="1616"/>
    <n v="360"/>
    <n v="180"/>
    <x v="112"/>
    <n v="18796"/>
    <n v="282"/>
    <x v="0"/>
    <x v="0"/>
  </r>
  <r>
    <s v="SP114"/>
    <x v="1"/>
    <d v="2024-07-16T00:00:00"/>
    <x v="0"/>
    <s v="Top trending tracks updated daily!"/>
    <n v="1803"/>
    <n v="273"/>
    <n v="287"/>
    <x v="113"/>
    <n v="25488"/>
    <n v="141"/>
    <x v="5"/>
    <x v="0"/>
  </r>
  <r>
    <s v="SP115"/>
    <x v="0"/>
    <d v="2025-04-15T00:00:00"/>
    <x v="0"/>
    <s v="Explore the latest podcasts now."/>
    <n v="4177"/>
    <n v="489"/>
    <n v="331"/>
    <x v="114"/>
    <n v="73793"/>
    <n v="251"/>
    <x v="1"/>
    <x v="1"/>
  </r>
  <r>
    <s v="SP116"/>
    <x v="0"/>
    <d v="2025-05-04T00:00:00"/>
    <x v="1"/>
    <s v="New music just dropped. Hit play!"/>
    <n v="1311"/>
    <n v="181"/>
    <n v="361"/>
    <x v="115"/>
    <n v="44875"/>
    <n v="245"/>
    <x v="5"/>
    <x v="2"/>
  </r>
  <r>
    <s v="SP117"/>
    <x v="0"/>
    <d v="2024-02-18T00:00:00"/>
    <x v="1"/>
    <s v="From pop to podcasts, itâ€™s all here."/>
    <n v="1516"/>
    <n v="215"/>
    <n v="332"/>
    <x v="116"/>
    <n v="36118"/>
    <n v="211"/>
    <x v="5"/>
    <x v="2"/>
  </r>
  <r>
    <s v="SP118"/>
    <x v="1"/>
    <d v="2024-05-16T00:00:00"/>
    <x v="1"/>
    <s v="Music that moves youâ€”only on Spotify."/>
    <n v="2023"/>
    <n v="124"/>
    <n v="99"/>
    <x v="117"/>
    <n v="34790"/>
    <n v="195"/>
    <x v="4"/>
    <x v="0"/>
  </r>
  <r>
    <s v="SP119"/>
    <x v="1"/>
    <d v="2025-05-29T00:00:00"/>
    <x v="1"/>
    <s v="Music that moves youâ€”only on Spotify."/>
    <n v="2134"/>
    <n v="322"/>
    <n v="114"/>
    <x v="118"/>
    <n v="52165"/>
    <n v="176"/>
    <x v="2"/>
    <x v="0"/>
  </r>
  <r>
    <s v="SP120"/>
    <x v="0"/>
    <d v="2025-01-17T00:00:00"/>
    <x v="0"/>
    <s v="Top trending tracks updated daily!"/>
    <n v="2266"/>
    <n v="126"/>
    <n v="140"/>
    <x v="119"/>
    <n v="46834"/>
    <n v="277"/>
    <x v="1"/>
    <x v="1"/>
  </r>
  <r>
    <s v="SP121"/>
    <x v="0"/>
    <d v="2025-04-30T00:00:00"/>
    <x v="1"/>
    <s v="New music just dropped. Hit play!"/>
    <n v="3916"/>
    <n v="459"/>
    <n v="229"/>
    <x v="120"/>
    <n v="39768"/>
    <n v="200"/>
    <x v="5"/>
    <x v="2"/>
  </r>
  <r>
    <s v="SP122"/>
    <x v="1"/>
    <d v="2024-02-24T00:00:00"/>
    <x v="1"/>
    <s v="Music that moves youâ€”only on Spotify."/>
    <n v="1022"/>
    <n v="463"/>
    <n v="360"/>
    <x v="121"/>
    <n v="24279"/>
    <n v="230"/>
    <x v="4"/>
    <x v="0"/>
  </r>
  <r>
    <s v="SP123"/>
    <x v="2"/>
    <d v="2024-05-12T00:00:00"/>
    <x v="0"/>
    <s v="From pop to podcasts, itâ€™s all here."/>
    <n v="2911"/>
    <n v="467"/>
    <n v="94"/>
    <x v="122"/>
    <n v="49762"/>
    <n v="236"/>
    <x v="3"/>
    <x v="1"/>
  </r>
  <r>
    <s v="SP124"/>
    <x v="1"/>
    <d v="2024-05-09T00:00:00"/>
    <x v="1"/>
    <s v="New music just dropped. Hit play!"/>
    <n v="3277"/>
    <n v="423"/>
    <n v="259"/>
    <x v="123"/>
    <n v="44293"/>
    <n v="299"/>
    <x v="0"/>
    <x v="0"/>
  </r>
  <r>
    <s v="SP125"/>
    <x v="1"/>
    <d v="2024-11-06T00:00:00"/>
    <x v="0"/>
    <s v="From pop to podcasts, itâ€™s all here."/>
    <n v="2956"/>
    <n v="381"/>
    <n v="345"/>
    <x v="124"/>
    <n v="22558"/>
    <n v="173"/>
    <x v="5"/>
    <x v="0"/>
  </r>
  <r>
    <s v="SP126"/>
    <x v="1"/>
    <d v="2024-01-04T00:00:00"/>
    <x v="1"/>
    <s v="Whatâ€™s your vibe today? #SpotifyHits"/>
    <n v="3208"/>
    <n v="476"/>
    <n v="277"/>
    <x v="125"/>
    <n v="21061"/>
    <n v="113"/>
    <x v="2"/>
    <x v="0"/>
  </r>
  <r>
    <s v="SP127"/>
    <x v="1"/>
    <d v="2024-01-28T00:00:00"/>
    <x v="0"/>
    <s v="Music that moves youâ€”only on Spotify."/>
    <n v="1456"/>
    <n v="265"/>
    <n v="137"/>
    <x v="126"/>
    <n v="59729"/>
    <n v="145"/>
    <x v="6"/>
    <x v="1"/>
  </r>
  <r>
    <s v="SP128"/>
    <x v="0"/>
    <d v="2024-02-22T00:00:00"/>
    <x v="0"/>
    <s v="New music just dropped. Hit play!"/>
    <n v="1902"/>
    <n v="394"/>
    <n v="279"/>
    <x v="127"/>
    <n v="51330"/>
    <n v="176"/>
    <x v="0"/>
    <x v="0"/>
  </r>
  <r>
    <s v="SP129"/>
    <x v="1"/>
    <d v="2025-07-01T00:00:00"/>
    <x v="1"/>
    <s v="Explore the latest podcasts now."/>
    <n v="3219"/>
    <n v="424"/>
    <n v="267"/>
    <x v="128"/>
    <n v="37691"/>
    <n v="224"/>
    <x v="4"/>
    <x v="0"/>
  </r>
  <r>
    <s v="SP130"/>
    <x v="2"/>
    <d v="2024-01-10T00:00:00"/>
    <x v="0"/>
    <s v="Explore the latest podcasts now."/>
    <n v="1261"/>
    <n v="190"/>
    <n v="233"/>
    <x v="129"/>
    <n v="51449"/>
    <n v="205"/>
    <x v="3"/>
    <x v="1"/>
  </r>
  <r>
    <s v="SP131"/>
    <x v="1"/>
    <d v="2025-03-20T00:00:00"/>
    <x v="0"/>
    <s v="Your weekend playlist is waiting."/>
    <n v="1564"/>
    <n v="362"/>
    <n v="371"/>
    <x v="130"/>
    <n v="66659"/>
    <n v="205"/>
    <x v="6"/>
    <x v="1"/>
  </r>
  <r>
    <s v="SP132"/>
    <x v="1"/>
    <d v="2024-09-28T00:00:00"/>
    <x v="0"/>
    <s v="Whatâ€™s your vibe today? #SpotifyHits"/>
    <n v="4006"/>
    <n v="420"/>
    <n v="194"/>
    <x v="131"/>
    <n v="20685"/>
    <n v="148"/>
    <x v="5"/>
    <x v="0"/>
  </r>
  <r>
    <s v="SP133"/>
    <x v="2"/>
    <d v="2024-01-27T00:00:00"/>
    <x v="0"/>
    <s v="Your weekend playlist is waiting."/>
    <n v="1976"/>
    <n v="262"/>
    <n v="218"/>
    <x v="132"/>
    <n v="44846"/>
    <n v="139"/>
    <x v="3"/>
    <x v="1"/>
  </r>
  <r>
    <s v="SP134"/>
    <x v="1"/>
    <d v="2025-05-15T00:00:00"/>
    <x v="0"/>
    <s v="New music just dropped. Hit play!"/>
    <n v="1583"/>
    <n v="433"/>
    <n v="249"/>
    <x v="133"/>
    <n v="47066"/>
    <n v="196"/>
    <x v="5"/>
    <x v="0"/>
  </r>
  <r>
    <s v="SP135"/>
    <x v="1"/>
    <d v="2024-10-04T00:00:00"/>
    <x v="1"/>
    <s v="Explore the latest podcasts now."/>
    <n v="2870"/>
    <n v="380"/>
    <n v="393"/>
    <x v="134"/>
    <n v="71794"/>
    <n v="127"/>
    <x v="2"/>
    <x v="0"/>
  </r>
  <r>
    <s v="SP136"/>
    <x v="1"/>
    <d v="2024-11-19T00:00:00"/>
    <x v="0"/>
    <s v="Top trending tracks updated daily!"/>
    <n v="3728"/>
    <n v="271"/>
    <n v="275"/>
    <x v="135"/>
    <n v="37034"/>
    <n v="199"/>
    <x v="5"/>
    <x v="0"/>
  </r>
  <r>
    <s v="SP137"/>
    <x v="1"/>
    <d v="2024-04-05T00:00:00"/>
    <x v="1"/>
    <s v="New music just dropped. Hit play!"/>
    <n v="4965"/>
    <n v="175"/>
    <n v="307"/>
    <x v="136"/>
    <n v="43412"/>
    <n v="296"/>
    <x v="0"/>
    <x v="0"/>
  </r>
  <r>
    <s v="SP138"/>
    <x v="1"/>
    <d v="2024-11-28T00:00:00"/>
    <x v="1"/>
    <s v="New music just dropped. Hit play!"/>
    <n v="1131"/>
    <n v="100"/>
    <n v="116"/>
    <x v="137"/>
    <n v="72704"/>
    <n v="236"/>
    <x v="4"/>
    <x v="0"/>
  </r>
  <r>
    <s v="SP139"/>
    <x v="1"/>
    <d v="2025-03-09T00:00:00"/>
    <x v="0"/>
    <s v="Your weekend playlist is waiting."/>
    <n v="2754"/>
    <n v="215"/>
    <n v="264"/>
    <x v="138"/>
    <n v="70203"/>
    <n v="289"/>
    <x v="5"/>
    <x v="0"/>
  </r>
  <r>
    <s v="SP140"/>
    <x v="1"/>
    <d v="2024-08-27T00:00:00"/>
    <x v="1"/>
    <s v="New music just dropped. Hit play!"/>
    <n v="1856"/>
    <n v="357"/>
    <n v="348"/>
    <x v="139"/>
    <n v="70206"/>
    <n v="236"/>
    <x v="2"/>
    <x v="0"/>
  </r>
  <r>
    <s v="SP141"/>
    <x v="2"/>
    <d v="2024-10-01T00:00:00"/>
    <x v="2"/>
    <s v="Explore the latest podcasts now."/>
    <n v="3543"/>
    <n v="334"/>
    <n v="218"/>
    <x v="140"/>
    <n v="24792"/>
    <n v="273"/>
    <x v="7"/>
    <x v="3"/>
  </r>
  <r>
    <s v="SP142"/>
    <x v="0"/>
    <d v="2024-12-21T00:00:00"/>
    <x v="1"/>
    <s v="New music just dropped. Hit play!"/>
    <n v="4563"/>
    <n v="398"/>
    <n v="163"/>
    <x v="141"/>
    <n v="48760"/>
    <n v="92"/>
    <x v="5"/>
    <x v="2"/>
  </r>
  <r>
    <s v="SP143"/>
    <x v="0"/>
    <d v="2024-06-17T00:00:00"/>
    <x v="0"/>
    <s v="Discover fresh beats on Spotify!"/>
    <n v="4283"/>
    <n v="471"/>
    <n v="156"/>
    <x v="142"/>
    <n v="25678"/>
    <n v="105"/>
    <x v="1"/>
    <x v="1"/>
  </r>
  <r>
    <s v="SP144"/>
    <x v="0"/>
    <d v="2025-02-14T00:00:00"/>
    <x v="0"/>
    <s v="Discover fresh beats on Spotify!"/>
    <n v="2329"/>
    <n v="373"/>
    <n v="291"/>
    <x v="143"/>
    <n v="28002"/>
    <n v="82"/>
    <x v="0"/>
    <x v="0"/>
  </r>
  <r>
    <s v="SP145"/>
    <x v="1"/>
    <d v="2025-05-28T00:00:00"/>
    <x v="1"/>
    <s v="Top trending tracks updated daily!"/>
    <n v="4287"/>
    <n v="273"/>
    <n v="122"/>
    <x v="144"/>
    <n v="23878"/>
    <n v="277"/>
    <x v="2"/>
    <x v="0"/>
  </r>
  <r>
    <s v="SP146"/>
    <x v="0"/>
    <d v="2025-05-22T00:00:00"/>
    <x v="0"/>
    <s v="Discover fresh beats on Spotify!"/>
    <n v="2633"/>
    <n v="318"/>
    <n v="380"/>
    <x v="145"/>
    <n v="64474"/>
    <n v="245"/>
    <x v="1"/>
    <x v="1"/>
  </r>
  <r>
    <s v="SP147"/>
    <x v="1"/>
    <d v="2024-01-21T00:00:00"/>
    <x v="1"/>
    <s v="Discover fresh beats on Spotify!"/>
    <n v="2383"/>
    <n v="136"/>
    <n v="302"/>
    <x v="146"/>
    <n v="22133"/>
    <n v="208"/>
    <x v="2"/>
    <x v="0"/>
  </r>
  <r>
    <s v="SP148"/>
    <x v="1"/>
    <d v="2025-02-08T00:00:00"/>
    <x v="1"/>
    <s v="Your weekend playlist is waiting."/>
    <n v="4752"/>
    <n v="334"/>
    <n v="56"/>
    <x v="147"/>
    <n v="55534"/>
    <n v="270"/>
    <x v="4"/>
    <x v="0"/>
  </r>
  <r>
    <s v="SP149"/>
    <x v="1"/>
    <d v="2025-04-13T00:00:00"/>
    <x v="0"/>
    <s v="From pop to podcasts, itâ€™s all here."/>
    <n v="3890"/>
    <n v="408"/>
    <n v="338"/>
    <x v="148"/>
    <n v="32621"/>
    <n v="286"/>
    <x v="6"/>
    <x v="1"/>
  </r>
  <r>
    <s v="SP150"/>
    <x v="1"/>
    <d v="2024-05-30T00:00:00"/>
    <x v="1"/>
    <s v="Your weekend playlist is waiting."/>
    <n v="2311"/>
    <n v="207"/>
    <n v="363"/>
    <x v="149"/>
    <n v="32925"/>
    <n v="88"/>
    <x v="2"/>
    <x v="0"/>
  </r>
  <r>
    <s v="SP151"/>
    <x v="0"/>
    <d v="2024-08-12T00:00:00"/>
    <x v="1"/>
    <s v="Discover fresh beats on Spotify!"/>
    <n v="2962"/>
    <n v="400"/>
    <n v="280"/>
    <x v="150"/>
    <n v="58329"/>
    <n v="219"/>
    <x v="5"/>
    <x v="2"/>
  </r>
  <r>
    <s v="SP152"/>
    <x v="0"/>
    <d v="2024-09-27T00:00:00"/>
    <x v="0"/>
    <s v="Discover fresh beats on Spotify!"/>
    <n v="3118"/>
    <n v="116"/>
    <n v="195"/>
    <x v="151"/>
    <n v="62629"/>
    <n v="272"/>
    <x v="1"/>
    <x v="1"/>
  </r>
  <r>
    <s v="SP153"/>
    <x v="1"/>
    <d v="2025-06-11T00:00:00"/>
    <x v="1"/>
    <s v="Explore the latest podcasts now."/>
    <n v="3805"/>
    <n v="453"/>
    <n v="63"/>
    <x v="152"/>
    <n v="72934"/>
    <n v="87"/>
    <x v="4"/>
    <x v="0"/>
  </r>
  <r>
    <s v="SP154"/>
    <x v="0"/>
    <d v="2024-11-19T00:00:00"/>
    <x v="0"/>
    <s v="Whatâ€™s your vibe today? #SpotifyHits"/>
    <n v="2525"/>
    <n v="272"/>
    <n v="294"/>
    <x v="153"/>
    <n v="24732"/>
    <n v="92"/>
    <x v="1"/>
    <x v="1"/>
  </r>
  <r>
    <s v="SP155"/>
    <x v="0"/>
    <d v="2024-04-25T00:00:00"/>
    <x v="0"/>
    <s v="Music that moves youâ€”only on Spotify."/>
    <n v="3563"/>
    <n v="483"/>
    <n v="227"/>
    <x v="154"/>
    <n v="26393"/>
    <n v="236"/>
    <x v="0"/>
    <x v="0"/>
  </r>
  <r>
    <s v="SP156"/>
    <x v="2"/>
    <d v="2024-09-03T00:00:00"/>
    <x v="2"/>
    <s v="Whatâ€™s your vibe today? #SpotifyHits"/>
    <n v="1437"/>
    <n v="494"/>
    <n v="129"/>
    <x v="155"/>
    <n v="44090"/>
    <n v="230"/>
    <x v="7"/>
    <x v="3"/>
  </r>
  <r>
    <s v="SP157"/>
    <x v="2"/>
    <d v="2025-03-02T00:00:00"/>
    <x v="0"/>
    <s v="From pop to podcasts, itâ€™s all here."/>
    <n v="4425"/>
    <n v="185"/>
    <n v="162"/>
    <x v="156"/>
    <n v="21342"/>
    <n v="158"/>
    <x v="3"/>
    <x v="1"/>
  </r>
  <r>
    <s v="SP158"/>
    <x v="1"/>
    <d v="2025-03-21T00:00:00"/>
    <x v="1"/>
    <s v="New music just dropped. Hit play!"/>
    <n v="4609"/>
    <n v="427"/>
    <n v="395"/>
    <x v="157"/>
    <n v="29259"/>
    <n v="216"/>
    <x v="4"/>
    <x v="0"/>
  </r>
  <r>
    <s v="SP159"/>
    <x v="0"/>
    <d v="2024-04-12T00:00:00"/>
    <x v="1"/>
    <s v="Get into the groove with our new drop!"/>
    <n v="1558"/>
    <n v="352"/>
    <n v="202"/>
    <x v="158"/>
    <n v="69941"/>
    <n v="219"/>
    <x v="5"/>
    <x v="2"/>
  </r>
  <r>
    <s v="SP160"/>
    <x v="2"/>
    <d v="2024-02-08T00:00:00"/>
    <x v="2"/>
    <s v="Top trending tracks updated daily!"/>
    <n v="1889"/>
    <n v="298"/>
    <n v="122"/>
    <x v="159"/>
    <n v="74305"/>
    <n v="293"/>
    <x v="7"/>
    <x v="3"/>
  </r>
  <r>
    <s v="SP161"/>
    <x v="0"/>
    <d v="2025-05-26T00:00:00"/>
    <x v="0"/>
    <s v="Discover fresh beats on Spotify!"/>
    <n v="3086"/>
    <n v="148"/>
    <n v="310"/>
    <x v="160"/>
    <n v="58103"/>
    <n v="275"/>
    <x v="1"/>
    <x v="1"/>
  </r>
  <r>
    <s v="SP162"/>
    <x v="0"/>
    <d v="2024-11-14T00:00:00"/>
    <x v="0"/>
    <s v="Music that moves youâ€”only on Spotify."/>
    <n v="2422"/>
    <n v="318"/>
    <n v="118"/>
    <x v="161"/>
    <n v="20873"/>
    <n v="100"/>
    <x v="0"/>
    <x v="0"/>
  </r>
  <r>
    <s v="SP163"/>
    <x v="2"/>
    <d v="2024-08-09T00:00:00"/>
    <x v="2"/>
    <s v="From pop to podcasts, itâ€™s all here."/>
    <n v="3414"/>
    <n v="154"/>
    <n v="204"/>
    <x v="162"/>
    <n v="44633"/>
    <n v="256"/>
    <x v="7"/>
    <x v="3"/>
  </r>
  <r>
    <s v="SP164"/>
    <x v="0"/>
    <d v="2025-06-27T00:00:00"/>
    <x v="1"/>
    <s v="Whatâ€™s your vibe today? #SpotifyHits"/>
    <n v="1342"/>
    <n v="332"/>
    <n v="163"/>
    <x v="163"/>
    <n v="57922"/>
    <n v="168"/>
    <x v="5"/>
    <x v="2"/>
  </r>
  <r>
    <s v="SP165"/>
    <x v="0"/>
    <d v="2024-05-08T00:00:00"/>
    <x v="1"/>
    <s v="Music that moves youâ€”only on Spotify."/>
    <n v="2414"/>
    <n v="220"/>
    <n v="280"/>
    <x v="164"/>
    <n v="50562"/>
    <n v="258"/>
    <x v="5"/>
    <x v="2"/>
  </r>
  <r>
    <s v="SP166"/>
    <x v="0"/>
    <d v="2024-04-05T00:00:00"/>
    <x v="0"/>
    <s v="New music just dropped. Hit play!"/>
    <n v="4383"/>
    <n v="352"/>
    <n v="176"/>
    <x v="165"/>
    <n v="34168"/>
    <n v="288"/>
    <x v="1"/>
    <x v="1"/>
  </r>
  <r>
    <s v="SP167"/>
    <x v="2"/>
    <d v="2025-01-27T00:00:00"/>
    <x v="0"/>
    <s v="Wrapped is here! Relive your top tracks ðŸŽ§"/>
    <n v="4294"/>
    <n v="423"/>
    <n v="93"/>
    <x v="166"/>
    <n v="73144"/>
    <n v="298"/>
    <x v="3"/>
    <x v="1"/>
  </r>
  <r>
    <s v="SP168"/>
    <x v="0"/>
    <d v="2024-04-03T00:00:00"/>
    <x v="0"/>
    <s v="Top trending tracks updated daily!"/>
    <n v="2762"/>
    <n v="339"/>
    <n v="323"/>
    <x v="167"/>
    <n v="68511"/>
    <n v="121"/>
    <x v="0"/>
    <x v="0"/>
  </r>
  <r>
    <s v="SP169"/>
    <x v="2"/>
    <d v="2025-01-03T00:00:00"/>
    <x v="0"/>
    <s v="New music just dropped. Hit play!"/>
    <n v="3782"/>
    <n v="484"/>
    <n v="144"/>
    <x v="168"/>
    <n v="59386"/>
    <n v="175"/>
    <x v="3"/>
    <x v="1"/>
  </r>
  <r>
    <s v="SP170"/>
    <x v="1"/>
    <d v="2024-11-23T00:00:00"/>
    <x v="0"/>
    <s v="New music just dropped. Hit play!"/>
    <n v="4318"/>
    <n v="371"/>
    <n v="329"/>
    <x v="169"/>
    <n v="68956"/>
    <n v="259"/>
    <x v="6"/>
    <x v="1"/>
  </r>
  <r>
    <s v="SP171"/>
    <x v="0"/>
    <d v="2024-09-01T00:00:00"/>
    <x v="1"/>
    <s v="Wrapped is here! Relive your top tracks ðŸŽ§"/>
    <n v="2335"/>
    <n v="150"/>
    <n v="75"/>
    <x v="170"/>
    <n v="57549"/>
    <n v="135"/>
    <x v="5"/>
    <x v="2"/>
  </r>
  <r>
    <s v="SP172"/>
    <x v="2"/>
    <d v="2024-04-18T00:00:00"/>
    <x v="0"/>
    <s v="Explore the latest podcasts now."/>
    <n v="4023"/>
    <n v="293"/>
    <n v="91"/>
    <x v="171"/>
    <n v="28924"/>
    <n v="278"/>
    <x v="3"/>
    <x v="1"/>
  </r>
  <r>
    <s v="SP173"/>
    <x v="0"/>
    <d v="2024-06-04T00:00:00"/>
    <x v="0"/>
    <s v="Get into the groove with our new drop!"/>
    <n v="3948"/>
    <n v="151"/>
    <n v="249"/>
    <x v="172"/>
    <n v="63136"/>
    <n v="230"/>
    <x v="1"/>
    <x v="1"/>
  </r>
  <r>
    <s v="SP174"/>
    <x v="2"/>
    <d v="2025-04-02T00:00:00"/>
    <x v="0"/>
    <s v="Wrapped is here! Relive your top tracks ðŸŽ§"/>
    <n v="4598"/>
    <n v="455"/>
    <n v="378"/>
    <x v="173"/>
    <n v="58504"/>
    <n v="269"/>
    <x v="3"/>
    <x v="1"/>
  </r>
  <r>
    <s v="SP175"/>
    <x v="1"/>
    <d v="2025-04-01T00:00:00"/>
    <x v="1"/>
    <s v="Music that moves youâ€”only on Spotify."/>
    <n v="2665"/>
    <n v="143"/>
    <n v="315"/>
    <x v="174"/>
    <n v="29818"/>
    <n v="98"/>
    <x v="4"/>
    <x v="0"/>
  </r>
  <r>
    <s v="SP176"/>
    <x v="0"/>
    <d v="2024-07-02T00:00:00"/>
    <x v="0"/>
    <s v="Top trending tracks updated daily!"/>
    <n v="3469"/>
    <n v="371"/>
    <n v="76"/>
    <x v="175"/>
    <n v="26906"/>
    <n v="150"/>
    <x v="0"/>
    <x v="0"/>
  </r>
  <r>
    <s v="SP177"/>
    <x v="1"/>
    <d v="2024-11-10T00:00:00"/>
    <x v="0"/>
    <s v="Explore the latest podcasts now."/>
    <n v="4823"/>
    <n v="489"/>
    <n v="302"/>
    <x v="176"/>
    <n v="31861"/>
    <n v="178"/>
    <x v="6"/>
    <x v="1"/>
  </r>
  <r>
    <s v="SP178"/>
    <x v="0"/>
    <d v="2024-12-14T00:00:00"/>
    <x v="1"/>
    <s v="From pop to podcasts, itâ€™s all here."/>
    <n v="3812"/>
    <n v="321"/>
    <n v="289"/>
    <x v="177"/>
    <n v="36337"/>
    <n v="161"/>
    <x v="5"/>
    <x v="2"/>
  </r>
  <r>
    <s v="SP179"/>
    <x v="1"/>
    <d v="2024-11-19T00:00:00"/>
    <x v="0"/>
    <s v="Explore the latest podcasts now."/>
    <n v="2387"/>
    <n v="353"/>
    <n v="78"/>
    <x v="178"/>
    <n v="69226"/>
    <n v="208"/>
    <x v="6"/>
    <x v="1"/>
  </r>
  <r>
    <s v="SP180"/>
    <x v="1"/>
    <d v="2025-04-30T00:00:00"/>
    <x v="1"/>
    <s v="Wrapped is here! Relive your top tracks ðŸŽ§"/>
    <n v="3929"/>
    <n v="275"/>
    <n v="330"/>
    <x v="179"/>
    <n v="33196"/>
    <n v="85"/>
    <x v="2"/>
    <x v="0"/>
  </r>
  <r>
    <s v="SP181"/>
    <x v="1"/>
    <d v="2024-03-19T00:00:00"/>
    <x v="0"/>
    <s v="From pop to podcasts, itâ€™s all here."/>
    <n v="2191"/>
    <n v="288"/>
    <n v="83"/>
    <x v="180"/>
    <n v="24765"/>
    <n v="281"/>
    <x v="6"/>
    <x v="1"/>
  </r>
  <r>
    <s v="SP182"/>
    <x v="0"/>
    <d v="2024-03-19T00:00:00"/>
    <x v="0"/>
    <s v="From pop to podcasts, itâ€™s all here."/>
    <n v="2878"/>
    <n v="278"/>
    <n v="255"/>
    <x v="181"/>
    <n v="57922"/>
    <n v="112"/>
    <x v="0"/>
    <x v="0"/>
  </r>
  <r>
    <s v="SP183"/>
    <x v="1"/>
    <d v="2024-07-23T00:00:00"/>
    <x v="0"/>
    <s v="Top trending tracks updated daily!"/>
    <n v="3204"/>
    <n v="398"/>
    <n v="85"/>
    <x v="182"/>
    <n v="58353"/>
    <n v="286"/>
    <x v="6"/>
    <x v="1"/>
  </r>
  <r>
    <s v="SP184"/>
    <x v="1"/>
    <d v="2024-07-13T00:00:00"/>
    <x v="1"/>
    <s v="Get into the groove with our new drop!"/>
    <n v="2408"/>
    <n v="323"/>
    <n v="251"/>
    <x v="183"/>
    <n v="35543"/>
    <n v="287"/>
    <x v="2"/>
    <x v="0"/>
  </r>
  <r>
    <s v="SP185"/>
    <x v="2"/>
    <d v="2025-04-22T00:00:00"/>
    <x v="2"/>
    <s v="New music just dropped. Hit play!"/>
    <n v="2733"/>
    <n v="297"/>
    <n v="235"/>
    <x v="184"/>
    <n v="33058"/>
    <n v="219"/>
    <x v="7"/>
    <x v="3"/>
  </r>
  <r>
    <s v="SP186"/>
    <x v="1"/>
    <d v="2024-06-16T00:00:00"/>
    <x v="1"/>
    <s v="Explore the latest podcasts now."/>
    <n v="4618"/>
    <n v="312"/>
    <n v="254"/>
    <x v="185"/>
    <n v="29453"/>
    <n v="197"/>
    <x v="2"/>
    <x v="0"/>
  </r>
  <r>
    <s v="SP187"/>
    <x v="2"/>
    <d v="2025-05-18T00:00:00"/>
    <x v="2"/>
    <s v="Wrapped is here! Relive your top tracks ðŸŽ§"/>
    <n v="4210"/>
    <n v="319"/>
    <n v="350"/>
    <x v="186"/>
    <n v="55162"/>
    <n v="204"/>
    <x v="7"/>
    <x v="3"/>
  </r>
  <r>
    <s v="SP188"/>
    <x v="0"/>
    <d v="2025-06-06T00:00:00"/>
    <x v="0"/>
    <s v="Wrapped is here! Relive your top tracks ðŸŽ§"/>
    <n v="3987"/>
    <n v="171"/>
    <n v="274"/>
    <x v="187"/>
    <n v="65431"/>
    <n v="168"/>
    <x v="1"/>
    <x v="1"/>
  </r>
  <r>
    <s v="SP189"/>
    <x v="2"/>
    <d v="2025-02-20T00:00:00"/>
    <x v="2"/>
    <s v="Get into the groove with our new drop!"/>
    <n v="4957"/>
    <n v="262"/>
    <n v="365"/>
    <x v="188"/>
    <n v="40314"/>
    <n v="216"/>
    <x v="7"/>
    <x v="3"/>
  </r>
  <r>
    <s v="SP190"/>
    <x v="0"/>
    <d v="2025-01-16T00:00:00"/>
    <x v="0"/>
    <s v="Music that moves youâ€”only on Spotify."/>
    <n v="2605"/>
    <n v="282"/>
    <n v="148"/>
    <x v="189"/>
    <n v="49583"/>
    <n v="241"/>
    <x v="0"/>
    <x v="0"/>
  </r>
  <r>
    <s v="SP191"/>
    <x v="2"/>
    <d v="2024-02-24T00:00:00"/>
    <x v="2"/>
    <s v="Discover fresh beats on Spotify!"/>
    <n v="4221"/>
    <n v="307"/>
    <n v="58"/>
    <x v="190"/>
    <n v="37214"/>
    <n v="240"/>
    <x v="7"/>
    <x v="3"/>
  </r>
  <r>
    <s v="SP192"/>
    <x v="1"/>
    <d v="2024-09-16T00:00:00"/>
    <x v="1"/>
    <s v="Whatâ€™s your vibe today? #SpotifyHits"/>
    <n v="4422"/>
    <n v="434"/>
    <n v="156"/>
    <x v="191"/>
    <n v="52431"/>
    <n v="173"/>
    <x v="4"/>
    <x v="0"/>
  </r>
  <r>
    <s v="SP193"/>
    <x v="2"/>
    <d v="2024-06-04T00:00:00"/>
    <x v="2"/>
    <s v="Wrapped is here! Relive your top tracks ðŸŽ§"/>
    <n v="1211"/>
    <n v="431"/>
    <n v="83"/>
    <x v="192"/>
    <n v="47305"/>
    <n v="232"/>
    <x v="7"/>
    <x v="3"/>
  </r>
  <r>
    <s v="SP194"/>
    <x v="1"/>
    <d v="2024-05-10T00:00:00"/>
    <x v="1"/>
    <s v="Explore the latest podcasts now."/>
    <n v="2784"/>
    <n v="111"/>
    <n v="399"/>
    <x v="193"/>
    <n v="69512"/>
    <n v="269"/>
    <x v="2"/>
    <x v="0"/>
  </r>
  <r>
    <s v="SP195"/>
    <x v="2"/>
    <d v="2024-01-14T00:00:00"/>
    <x v="0"/>
    <s v="New music just dropped. Hit play!"/>
    <n v="3634"/>
    <n v="280"/>
    <n v="399"/>
    <x v="194"/>
    <n v="52605"/>
    <n v="213"/>
    <x v="3"/>
    <x v="1"/>
  </r>
  <r>
    <s v="SP196"/>
    <x v="0"/>
    <d v="2025-01-12T00:00:00"/>
    <x v="0"/>
    <s v="From pop to podcasts, itâ€™s all here."/>
    <n v="1771"/>
    <n v="487"/>
    <n v="272"/>
    <x v="195"/>
    <n v="48084"/>
    <n v="272"/>
    <x v="0"/>
    <x v="0"/>
  </r>
  <r>
    <s v="SP197"/>
    <x v="2"/>
    <d v="2024-12-08T00:00:00"/>
    <x v="0"/>
    <s v="Top trending tracks updated daily!"/>
    <n v="1424"/>
    <n v="396"/>
    <n v="312"/>
    <x v="196"/>
    <n v="46102"/>
    <n v="239"/>
    <x v="3"/>
    <x v="1"/>
  </r>
  <r>
    <s v="SP198"/>
    <x v="1"/>
    <d v="2025-02-01T00:00:00"/>
    <x v="1"/>
    <s v="Top trending tracks updated daily!"/>
    <n v="1079"/>
    <n v="265"/>
    <n v="190"/>
    <x v="197"/>
    <n v="72428"/>
    <n v="222"/>
    <x v="0"/>
    <x v="0"/>
  </r>
  <r>
    <s v="SP199"/>
    <x v="1"/>
    <d v="2024-07-11T00:00:00"/>
    <x v="1"/>
    <s v="Get into the groove with our new drop!"/>
    <n v="4247"/>
    <n v="179"/>
    <n v="175"/>
    <x v="198"/>
    <n v="70120"/>
    <n v="276"/>
    <x v="0"/>
    <x v="0"/>
  </r>
  <r>
    <s v="SP200"/>
    <x v="1"/>
    <d v="2024-03-18T00:00:00"/>
    <x v="0"/>
    <s v="New music just dropped. Hit play!"/>
    <n v="2033"/>
    <n v="420"/>
    <n v="94"/>
    <x v="199"/>
    <n v="57391"/>
    <n v="196"/>
    <x v="5"/>
    <x v="0"/>
  </r>
  <r>
    <s v="SP201"/>
    <x v="1"/>
    <d v="2024-09-12T00:00:00"/>
    <x v="1"/>
    <s v="Wrapped is here! Relive your top tracks ðŸŽ§"/>
    <n v="1839"/>
    <n v="223"/>
    <n v="171"/>
    <x v="200"/>
    <n v="69988"/>
    <n v="114"/>
    <x v="2"/>
    <x v="0"/>
  </r>
  <r>
    <s v="SP202"/>
    <x v="1"/>
    <d v="2024-01-11T00:00:00"/>
    <x v="1"/>
    <s v="Wrapped is here! Relive your top tracks ðŸŽ§"/>
    <n v="2340"/>
    <n v="141"/>
    <n v="206"/>
    <x v="201"/>
    <n v="30582"/>
    <n v="157"/>
    <x v="0"/>
    <x v="0"/>
  </r>
  <r>
    <s v="SP203"/>
    <x v="0"/>
    <d v="2024-10-06T00:00:00"/>
    <x v="0"/>
    <s v="Top trending tracks updated daily!"/>
    <n v="2080"/>
    <n v="389"/>
    <n v="92"/>
    <x v="202"/>
    <n v="25347"/>
    <n v="111"/>
    <x v="1"/>
    <x v="1"/>
  </r>
  <r>
    <s v="SP204"/>
    <x v="1"/>
    <d v="2024-12-30T00:00:00"/>
    <x v="0"/>
    <s v="Get into the groove with our new drop!"/>
    <n v="4214"/>
    <n v="286"/>
    <n v="127"/>
    <x v="203"/>
    <n v="27184"/>
    <n v="232"/>
    <x v="5"/>
    <x v="0"/>
  </r>
  <r>
    <s v="SP205"/>
    <x v="1"/>
    <d v="2025-04-16T00:00:00"/>
    <x v="0"/>
    <s v="Wrapped is here! Relive your top tracks ðŸŽ§"/>
    <n v="3792"/>
    <n v="315"/>
    <n v="120"/>
    <x v="204"/>
    <n v="67886"/>
    <n v="117"/>
    <x v="6"/>
    <x v="1"/>
  </r>
  <r>
    <s v="SP206"/>
    <x v="1"/>
    <d v="2024-08-21T00:00:00"/>
    <x v="1"/>
    <s v="Explore the latest podcasts now."/>
    <n v="3989"/>
    <n v="476"/>
    <n v="128"/>
    <x v="205"/>
    <n v="40193"/>
    <n v="222"/>
    <x v="4"/>
    <x v="0"/>
  </r>
  <r>
    <s v="SP207"/>
    <x v="1"/>
    <d v="2024-04-05T00:00:00"/>
    <x v="1"/>
    <s v="Wrapped is here! Relive your top tracks ðŸŽ§"/>
    <n v="2857"/>
    <n v="443"/>
    <n v="359"/>
    <x v="206"/>
    <n v="28256"/>
    <n v="155"/>
    <x v="0"/>
    <x v="0"/>
  </r>
  <r>
    <s v="SP208"/>
    <x v="1"/>
    <d v="2025-04-07T00:00:00"/>
    <x v="0"/>
    <s v="From pop to podcasts, itâ€™s all here."/>
    <n v="1403"/>
    <n v="385"/>
    <n v="344"/>
    <x v="207"/>
    <n v="72595"/>
    <n v="239"/>
    <x v="6"/>
    <x v="1"/>
  </r>
  <r>
    <s v="SP209"/>
    <x v="1"/>
    <d v="2024-07-19T00:00:00"/>
    <x v="1"/>
    <s v="Whatâ€™s your vibe today? #SpotifyHits"/>
    <n v="3071"/>
    <n v="126"/>
    <n v="200"/>
    <x v="208"/>
    <n v="44679"/>
    <n v="118"/>
    <x v="4"/>
    <x v="0"/>
  </r>
  <r>
    <s v="SP210"/>
    <x v="1"/>
    <d v="2025-05-03T00:00:00"/>
    <x v="1"/>
    <s v="Top trending tracks updated daily!"/>
    <n v="1010"/>
    <n v="361"/>
    <n v="240"/>
    <x v="209"/>
    <n v="72573"/>
    <n v="275"/>
    <x v="0"/>
    <x v="0"/>
  </r>
  <r>
    <s v="SP211"/>
    <x v="1"/>
    <d v="2024-04-14T00:00:00"/>
    <x v="1"/>
    <s v="Discover fresh beats on Spotify!"/>
    <n v="1295"/>
    <n v="153"/>
    <n v="81"/>
    <x v="210"/>
    <n v="61033"/>
    <n v="232"/>
    <x v="4"/>
    <x v="0"/>
  </r>
  <r>
    <s v="SP212"/>
    <x v="1"/>
    <d v="2025-06-19T00:00:00"/>
    <x v="1"/>
    <s v="Whatâ€™s your vibe today? #SpotifyHits"/>
    <n v="1433"/>
    <n v="452"/>
    <n v="305"/>
    <x v="211"/>
    <n v="63700"/>
    <n v="296"/>
    <x v="4"/>
    <x v="0"/>
  </r>
  <r>
    <s v="SP213"/>
    <x v="0"/>
    <d v="2025-06-24T00:00:00"/>
    <x v="1"/>
    <s v="Get into the groove with our new drop!"/>
    <n v="4902"/>
    <n v="422"/>
    <n v="376"/>
    <x v="212"/>
    <n v="53225"/>
    <n v="147"/>
    <x v="5"/>
    <x v="2"/>
  </r>
  <r>
    <s v="SP214"/>
    <x v="1"/>
    <d v="2024-10-09T00:00:00"/>
    <x v="0"/>
    <s v="Wrapped is here! Relive your top tracks ðŸŽ§"/>
    <n v="2659"/>
    <n v="167"/>
    <n v="73"/>
    <x v="213"/>
    <n v="25872"/>
    <n v="293"/>
    <x v="6"/>
    <x v="1"/>
  </r>
  <r>
    <s v="SP215"/>
    <x v="2"/>
    <d v="2025-01-15T00:00:00"/>
    <x v="0"/>
    <s v="Your weekend playlist is waiting."/>
    <n v="2599"/>
    <n v="324"/>
    <n v="182"/>
    <x v="214"/>
    <n v="37216"/>
    <n v="186"/>
    <x v="3"/>
    <x v="1"/>
  </r>
  <r>
    <s v="SP216"/>
    <x v="1"/>
    <d v="2025-01-12T00:00:00"/>
    <x v="0"/>
    <s v="Music that moves youâ€”only on Spotify."/>
    <n v="1765"/>
    <n v="285"/>
    <n v="100"/>
    <x v="215"/>
    <n v="56575"/>
    <n v="174"/>
    <x v="6"/>
    <x v="1"/>
  </r>
  <r>
    <s v="SP217"/>
    <x v="0"/>
    <d v="2025-05-31T00:00:00"/>
    <x v="0"/>
    <s v="Whatâ€™s your vibe today? #SpotifyHits"/>
    <n v="2169"/>
    <n v="240"/>
    <n v="57"/>
    <x v="216"/>
    <n v="46667"/>
    <n v="133"/>
    <x v="0"/>
    <x v="0"/>
  </r>
  <r>
    <s v="SP218"/>
    <x v="1"/>
    <d v="2024-10-14T00:00:00"/>
    <x v="1"/>
    <s v="Explore the latest podcasts now."/>
    <n v="4303"/>
    <n v="306"/>
    <n v="302"/>
    <x v="217"/>
    <n v="33762"/>
    <n v="265"/>
    <x v="4"/>
    <x v="0"/>
  </r>
  <r>
    <s v="SP219"/>
    <x v="1"/>
    <d v="2024-02-10T00:00:00"/>
    <x v="0"/>
    <s v="From pop to podcasts, itâ€™s all here."/>
    <n v="1519"/>
    <n v="456"/>
    <n v="379"/>
    <x v="218"/>
    <n v="45880"/>
    <n v="176"/>
    <x v="6"/>
    <x v="1"/>
  </r>
  <r>
    <s v="SP220"/>
    <x v="2"/>
    <d v="2024-12-10T00:00:00"/>
    <x v="0"/>
    <s v="Whatâ€™s your vibe today? #SpotifyHits"/>
    <n v="2569"/>
    <n v="140"/>
    <n v="375"/>
    <x v="219"/>
    <n v="22102"/>
    <n v="255"/>
    <x v="3"/>
    <x v="1"/>
  </r>
  <r>
    <s v="SP221"/>
    <x v="1"/>
    <d v="2025-05-09T00:00:00"/>
    <x v="1"/>
    <s v="Music that moves youâ€”only on Spotify."/>
    <n v="2778"/>
    <n v="241"/>
    <n v="317"/>
    <x v="220"/>
    <n v="20677"/>
    <n v="282"/>
    <x v="2"/>
    <x v="0"/>
  </r>
  <r>
    <s v="SP222"/>
    <x v="1"/>
    <d v="2025-06-21T00:00:00"/>
    <x v="0"/>
    <s v="Explore the latest podcasts now."/>
    <n v="3611"/>
    <n v="127"/>
    <n v="139"/>
    <x v="221"/>
    <n v="29435"/>
    <n v="178"/>
    <x v="5"/>
    <x v="0"/>
  </r>
  <r>
    <s v="SP223"/>
    <x v="1"/>
    <d v="2024-06-19T00:00:00"/>
    <x v="0"/>
    <s v="Whatâ€™s your vibe today? #SpotifyHits"/>
    <n v="1224"/>
    <n v="168"/>
    <n v="199"/>
    <x v="222"/>
    <n v="52844"/>
    <n v="271"/>
    <x v="6"/>
    <x v="1"/>
  </r>
  <r>
    <s v="SP224"/>
    <x v="1"/>
    <d v="2024-12-10T00:00:00"/>
    <x v="0"/>
    <s v="From pop to podcasts, itâ€™s all here."/>
    <n v="4673"/>
    <n v="270"/>
    <n v="93"/>
    <x v="223"/>
    <n v="57513"/>
    <n v="103"/>
    <x v="5"/>
    <x v="0"/>
  </r>
  <r>
    <s v="SP225"/>
    <x v="2"/>
    <d v="2024-02-01T00:00:00"/>
    <x v="0"/>
    <s v="Wrapped is here! Relive your top tracks ðŸŽ§"/>
    <n v="1432"/>
    <n v="437"/>
    <n v="267"/>
    <x v="224"/>
    <n v="54511"/>
    <n v="197"/>
    <x v="3"/>
    <x v="1"/>
  </r>
  <r>
    <s v="SP226"/>
    <x v="1"/>
    <d v="2024-01-17T00:00:00"/>
    <x v="1"/>
    <s v="New music just dropped. Hit play!"/>
    <n v="2174"/>
    <n v="499"/>
    <n v="212"/>
    <x v="225"/>
    <n v="27190"/>
    <n v="265"/>
    <x v="2"/>
    <x v="0"/>
  </r>
  <r>
    <s v="SP227"/>
    <x v="2"/>
    <d v="2025-03-22T00:00:00"/>
    <x v="0"/>
    <s v="Music that moves youâ€”only on Spotify."/>
    <n v="4308"/>
    <n v="171"/>
    <n v="106"/>
    <x v="226"/>
    <n v="23949"/>
    <n v="294"/>
    <x v="3"/>
    <x v="1"/>
  </r>
  <r>
    <s v="SP228"/>
    <x v="2"/>
    <d v="2024-05-30T00:00:00"/>
    <x v="2"/>
    <s v="Whatâ€™s your vibe today? #SpotifyHits"/>
    <n v="1060"/>
    <n v="442"/>
    <n v="319"/>
    <x v="227"/>
    <n v="24258"/>
    <n v="101"/>
    <x v="7"/>
    <x v="3"/>
  </r>
  <r>
    <s v="SP229"/>
    <x v="2"/>
    <d v="2024-02-24T00:00:00"/>
    <x v="0"/>
    <s v="Music that moves youâ€”only on Spotify."/>
    <n v="4653"/>
    <n v="226"/>
    <n v="349"/>
    <x v="228"/>
    <n v="28452"/>
    <n v="257"/>
    <x v="3"/>
    <x v="1"/>
  </r>
  <r>
    <s v="SP230"/>
    <x v="2"/>
    <d v="2025-05-14T00:00:00"/>
    <x v="0"/>
    <s v="Discover fresh beats on Spotify!"/>
    <n v="1701"/>
    <n v="272"/>
    <n v="385"/>
    <x v="229"/>
    <n v="40832"/>
    <n v="246"/>
    <x v="3"/>
    <x v="1"/>
  </r>
  <r>
    <s v="SP231"/>
    <x v="0"/>
    <d v="2024-03-28T00:00:00"/>
    <x v="0"/>
    <s v="Whatâ€™s your vibe today? #SpotifyHits"/>
    <n v="1673"/>
    <n v="280"/>
    <n v="67"/>
    <x v="230"/>
    <n v="48016"/>
    <n v="213"/>
    <x v="0"/>
    <x v="0"/>
  </r>
  <r>
    <s v="SP232"/>
    <x v="2"/>
    <d v="2025-03-07T00:00:00"/>
    <x v="0"/>
    <s v="Top trending tracks updated daily!"/>
    <n v="4310"/>
    <n v="284"/>
    <n v="306"/>
    <x v="231"/>
    <n v="42604"/>
    <n v="290"/>
    <x v="3"/>
    <x v="1"/>
  </r>
  <r>
    <s v="SP233"/>
    <x v="1"/>
    <d v="2024-10-20T00:00:00"/>
    <x v="0"/>
    <s v="From pop to podcasts, itâ€™s all here."/>
    <n v="2752"/>
    <n v="309"/>
    <n v="91"/>
    <x v="232"/>
    <n v="28095"/>
    <n v="277"/>
    <x v="5"/>
    <x v="0"/>
  </r>
  <r>
    <s v="SP234"/>
    <x v="1"/>
    <d v="2024-02-02T00:00:00"/>
    <x v="0"/>
    <s v="From pop to podcasts, itâ€™s all here."/>
    <n v="3818"/>
    <n v="115"/>
    <n v="286"/>
    <x v="233"/>
    <n v="22277"/>
    <n v="263"/>
    <x v="5"/>
    <x v="0"/>
  </r>
  <r>
    <s v="SP235"/>
    <x v="2"/>
    <d v="2024-09-07T00:00:00"/>
    <x v="0"/>
    <s v="Your weekend playlist is waiting."/>
    <n v="2101"/>
    <n v="411"/>
    <n v="190"/>
    <x v="234"/>
    <n v="57090"/>
    <n v="172"/>
    <x v="3"/>
    <x v="1"/>
  </r>
  <r>
    <s v="SP236"/>
    <x v="0"/>
    <d v="2024-12-20T00:00:00"/>
    <x v="0"/>
    <s v="Discover fresh beats on Spotify!"/>
    <n v="2519"/>
    <n v="202"/>
    <n v="239"/>
    <x v="235"/>
    <n v="48606"/>
    <n v="145"/>
    <x v="1"/>
    <x v="1"/>
  </r>
  <r>
    <s v="SP237"/>
    <x v="2"/>
    <d v="2024-01-14T00:00:00"/>
    <x v="0"/>
    <s v="Whatâ€™s your vibe today? #SpotifyHits"/>
    <n v="4502"/>
    <n v="238"/>
    <n v="386"/>
    <x v="236"/>
    <n v="25050"/>
    <n v="297"/>
    <x v="3"/>
    <x v="1"/>
  </r>
  <r>
    <s v="SP238"/>
    <x v="0"/>
    <d v="2025-06-15T00:00:00"/>
    <x v="0"/>
    <s v="Explore the latest podcasts now."/>
    <n v="2478"/>
    <n v="427"/>
    <n v="242"/>
    <x v="237"/>
    <n v="37833"/>
    <n v="214"/>
    <x v="0"/>
    <x v="0"/>
  </r>
  <r>
    <s v="SP239"/>
    <x v="1"/>
    <d v="2024-12-13T00:00:00"/>
    <x v="1"/>
    <s v="New music just dropped. Hit play!"/>
    <n v="4984"/>
    <n v="300"/>
    <n v="338"/>
    <x v="238"/>
    <n v="31691"/>
    <n v="160"/>
    <x v="2"/>
    <x v="0"/>
  </r>
  <r>
    <s v="SP240"/>
    <x v="2"/>
    <d v="2024-08-29T00:00:00"/>
    <x v="0"/>
    <s v="Wrapped is here! Relive your top tracks ðŸŽ§"/>
    <n v="4774"/>
    <n v="389"/>
    <n v="358"/>
    <x v="239"/>
    <n v="30518"/>
    <n v="277"/>
    <x v="3"/>
    <x v="1"/>
  </r>
  <r>
    <s v="SP241"/>
    <x v="1"/>
    <d v="2024-09-15T00:00:00"/>
    <x v="0"/>
    <s v="Get into the groove with our new drop!"/>
    <n v="2145"/>
    <n v="340"/>
    <n v="85"/>
    <x v="240"/>
    <n v="49938"/>
    <n v="104"/>
    <x v="5"/>
    <x v="0"/>
  </r>
  <r>
    <s v="SP242"/>
    <x v="1"/>
    <d v="2025-04-12T00:00:00"/>
    <x v="1"/>
    <s v="From pop to podcasts, itâ€™s all here."/>
    <n v="4315"/>
    <n v="208"/>
    <n v="273"/>
    <x v="241"/>
    <n v="44349"/>
    <n v="133"/>
    <x v="4"/>
    <x v="0"/>
  </r>
  <r>
    <s v="SP243"/>
    <x v="1"/>
    <d v="2024-12-10T00:00:00"/>
    <x v="1"/>
    <s v="Wrapped is here! Relive your top tracks ðŸŽ§"/>
    <n v="2267"/>
    <n v="230"/>
    <n v="243"/>
    <x v="242"/>
    <n v="69771"/>
    <n v="255"/>
    <x v="4"/>
    <x v="0"/>
  </r>
  <r>
    <s v="SP244"/>
    <x v="2"/>
    <d v="2025-06-08T00:00:00"/>
    <x v="0"/>
    <s v="Music that moves youâ€”only on Spotify."/>
    <n v="4375"/>
    <n v="303"/>
    <n v="294"/>
    <x v="243"/>
    <n v="53397"/>
    <n v="159"/>
    <x v="3"/>
    <x v="1"/>
  </r>
  <r>
    <s v="SP245"/>
    <x v="1"/>
    <d v="2025-01-09T00:00:00"/>
    <x v="1"/>
    <s v="Your weekend playlist is waiting."/>
    <n v="3817"/>
    <n v="284"/>
    <n v="204"/>
    <x v="244"/>
    <n v="53396"/>
    <n v="104"/>
    <x v="2"/>
    <x v="0"/>
  </r>
  <r>
    <s v="SP246"/>
    <x v="1"/>
    <d v="2024-07-08T00:00:00"/>
    <x v="1"/>
    <s v="Top trending tracks updated daily!"/>
    <n v="2981"/>
    <n v="258"/>
    <n v="168"/>
    <x v="245"/>
    <n v="68290"/>
    <n v="130"/>
    <x v="0"/>
    <x v="0"/>
  </r>
  <r>
    <s v="SP247"/>
    <x v="1"/>
    <d v="2024-09-16T00:00:00"/>
    <x v="1"/>
    <s v="Your weekend playlist is waiting."/>
    <n v="3300"/>
    <n v="354"/>
    <n v="397"/>
    <x v="246"/>
    <n v="72110"/>
    <n v="163"/>
    <x v="4"/>
    <x v="0"/>
  </r>
  <r>
    <s v="SP248"/>
    <x v="2"/>
    <d v="2024-06-14T00:00:00"/>
    <x v="2"/>
    <s v="Wrapped is here! Relive your top tracks ðŸŽ§"/>
    <n v="4722"/>
    <n v="310"/>
    <n v="344"/>
    <x v="247"/>
    <n v="19000"/>
    <n v="225"/>
    <x v="7"/>
    <x v="3"/>
  </r>
  <r>
    <s v="SP249"/>
    <x v="0"/>
    <d v="2024-03-06T00:00:00"/>
    <x v="0"/>
    <s v="Whatâ€™s your vibe today? #SpotifyHits"/>
    <n v="3529"/>
    <n v="263"/>
    <n v="107"/>
    <x v="248"/>
    <n v="19367"/>
    <n v="96"/>
    <x v="1"/>
    <x v="1"/>
  </r>
  <r>
    <s v="SP250"/>
    <x v="1"/>
    <d v="2025-05-15T00:00:00"/>
    <x v="0"/>
    <s v="Your weekend playlist is waiting."/>
    <n v="4782"/>
    <n v="210"/>
    <n v="311"/>
    <x v="249"/>
    <n v="37543"/>
    <n v="145"/>
    <x v="5"/>
    <x v="0"/>
  </r>
  <r>
    <s v="SP251"/>
    <x v="1"/>
    <d v="2024-07-07T00:00:00"/>
    <x v="0"/>
    <s v="Whatâ€™s your vibe today? #SpotifyHits"/>
    <n v="1848"/>
    <n v="417"/>
    <n v="294"/>
    <x v="250"/>
    <n v="19798"/>
    <n v="262"/>
    <x v="6"/>
    <x v="1"/>
  </r>
  <r>
    <s v="SP252"/>
    <x v="2"/>
    <d v="2024-10-26T00:00:00"/>
    <x v="0"/>
    <s v="New music just dropped. Hit play!"/>
    <n v="4676"/>
    <n v="211"/>
    <n v="55"/>
    <x v="251"/>
    <n v="73503"/>
    <n v="248"/>
    <x v="3"/>
    <x v="1"/>
  </r>
  <r>
    <s v="SP253"/>
    <x v="2"/>
    <d v="2024-08-08T00:00:00"/>
    <x v="0"/>
    <s v="From pop to podcasts, itâ€™s all here."/>
    <n v="1994"/>
    <n v="197"/>
    <n v="290"/>
    <x v="252"/>
    <n v="23343"/>
    <n v="160"/>
    <x v="3"/>
    <x v="1"/>
  </r>
  <r>
    <s v="SP254"/>
    <x v="1"/>
    <d v="2025-02-03T00:00:00"/>
    <x v="0"/>
    <s v="Whatâ€™s your vibe today? #SpotifyHits"/>
    <n v="4995"/>
    <n v="231"/>
    <n v="94"/>
    <x v="253"/>
    <n v="32560"/>
    <n v="262"/>
    <x v="5"/>
    <x v="0"/>
  </r>
  <r>
    <s v="SP255"/>
    <x v="1"/>
    <d v="2024-04-03T00:00:00"/>
    <x v="1"/>
    <s v="Top trending tracks updated daily!"/>
    <n v="2291"/>
    <n v="146"/>
    <n v="399"/>
    <x v="254"/>
    <n v="28056"/>
    <n v="90"/>
    <x v="4"/>
    <x v="0"/>
  </r>
  <r>
    <s v="SP256"/>
    <x v="1"/>
    <d v="2024-07-08T00:00:00"/>
    <x v="1"/>
    <s v="Wrapped is here! Relive your top tracks ðŸŽ§"/>
    <n v="2304"/>
    <n v="289"/>
    <n v="161"/>
    <x v="255"/>
    <n v="66262"/>
    <n v="146"/>
    <x v="2"/>
    <x v="0"/>
  </r>
  <r>
    <s v="SP257"/>
    <x v="1"/>
    <d v="2024-06-08T00:00:00"/>
    <x v="1"/>
    <s v="Top trending tracks updated daily!"/>
    <n v="3413"/>
    <n v="326"/>
    <n v="86"/>
    <x v="256"/>
    <n v="52719"/>
    <n v="272"/>
    <x v="4"/>
    <x v="0"/>
  </r>
  <r>
    <s v="SP258"/>
    <x v="2"/>
    <d v="2025-03-20T00:00:00"/>
    <x v="2"/>
    <s v="From pop to podcasts, itâ€™s all here."/>
    <n v="1453"/>
    <n v="156"/>
    <n v="178"/>
    <x v="257"/>
    <n v="57180"/>
    <n v="286"/>
    <x v="7"/>
    <x v="3"/>
  </r>
  <r>
    <s v="SP259"/>
    <x v="1"/>
    <d v="2025-01-19T00:00:00"/>
    <x v="1"/>
    <s v="Music that moves youâ€”only on Spotify."/>
    <n v="1651"/>
    <n v="480"/>
    <n v="282"/>
    <x v="258"/>
    <n v="70560"/>
    <n v="138"/>
    <x v="0"/>
    <x v="0"/>
  </r>
  <r>
    <s v="SP260"/>
    <x v="1"/>
    <d v="2025-01-05T00:00:00"/>
    <x v="1"/>
    <s v="Explore the latest podcasts now."/>
    <n v="3341"/>
    <n v="154"/>
    <n v="123"/>
    <x v="259"/>
    <n v="49035"/>
    <n v="128"/>
    <x v="2"/>
    <x v="0"/>
  </r>
  <r>
    <s v="SP261"/>
    <x v="1"/>
    <d v="2024-11-16T00:00:00"/>
    <x v="0"/>
    <s v="From pop to podcasts, itâ€™s all here."/>
    <n v="2972"/>
    <n v="263"/>
    <n v="308"/>
    <x v="260"/>
    <n v="28214"/>
    <n v="190"/>
    <x v="6"/>
    <x v="1"/>
  </r>
  <r>
    <s v="SP262"/>
    <x v="1"/>
    <d v="2024-11-30T00:00:00"/>
    <x v="1"/>
    <s v="Explore the latest podcasts now."/>
    <n v="4963"/>
    <n v="255"/>
    <n v="193"/>
    <x v="261"/>
    <n v="28415"/>
    <n v="174"/>
    <x v="2"/>
    <x v="0"/>
  </r>
  <r>
    <s v="SP263"/>
    <x v="2"/>
    <d v="2024-03-27T00:00:00"/>
    <x v="0"/>
    <s v="Music that moves youâ€”only on Spotify."/>
    <n v="2399"/>
    <n v="191"/>
    <n v="221"/>
    <x v="262"/>
    <n v="40033"/>
    <n v="173"/>
    <x v="3"/>
    <x v="1"/>
  </r>
  <r>
    <s v="SP264"/>
    <x v="2"/>
    <d v="2025-05-31T00:00:00"/>
    <x v="2"/>
    <s v="Get into the groove with our new drop!"/>
    <n v="2162"/>
    <n v="318"/>
    <n v="83"/>
    <x v="263"/>
    <n v="20482"/>
    <n v="185"/>
    <x v="7"/>
    <x v="3"/>
  </r>
  <r>
    <s v="SP265"/>
    <x v="1"/>
    <d v="2025-06-17T00:00:00"/>
    <x v="1"/>
    <s v="Explore the latest podcasts now."/>
    <n v="4341"/>
    <n v="141"/>
    <n v="63"/>
    <x v="264"/>
    <n v="27507"/>
    <n v="221"/>
    <x v="4"/>
    <x v="0"/>
  </r>
  <r>
    <s v="SP266"/>
    <x v="0"/>
    <d v="2024-05-30T00:00:00"/>
    <x v="1"/>
    <s v="Get into the groove with our new drop!"/>
    <n v="2448"/>
    <n v="464"/>
    <n v="98"/>
    <x v="265"/>
    <n v="48545"/>
    <n v="246"/>
    <x v="5"/>
    <x v="2"/>
  </r>
  <r>
    <s v="SP267"/>
    <x v="2"/>
    <d v="2024-11-08T00:00:00"/>
    <x v="0"/>
    <s v="Top trending tracks updated daily!"/>
    <n v="2471"/>
    <n v="166"/>
    <n v="320"/>
    <x v="266"/>
    <n v="46900"/>
    <n v="111"/>
    <x v="3"/>
    <x v="1"/>
  </r>
  <r>
    <s v="SP268"/>
    <x v="2"/>
    <d v="2024-03-17T00:00:00"/>
    <x v="2"/>
    <s v="Explore the latest podcasts now."/>
    <n v="2692"/>
    <n v="446"/>
    <n v="216"/>
    <x v="267"/>
    <n v="62723"/>
    <n v="85"/>
    <x v="7"/>
    <x v="3"/>
  </r>
  <r>
    <s v="SP269"/>
    <x v="2"/>
    <d v="2024-06-21T00:00:00"/>
    <x v="2"/>
    <s v="Music that moves youâ€”only on Spotify."/>
    <n v="4621"/>
    <n v="374"/>
    <n v="298"/>
    <x v="268"/>
    <n v="24098"/>
    <n v="205"/>
    <x v="7"/>
    <x v="3"/>
  </r>
  <r>
    <s v="SP270"/>
    <x v="1"/>
    <d v="2024-11-13T00:00:00"/>
    <x v="1"/>
    <s v="New music just dropped. Hit play!"/>
    <n v="1409"/>
    <n v="466"/>
    <n v="105"/>
    <x v="269"/>
    <n v="38753"/>
    <n v="265"/>
    <x v="4"/>
    <x v="0"/>
  </r>
  <r>
    <s v="SP271"/>
    <x v="1"/>
    <d v="2025-02-05T00:00:00"/>
    <x v="1"/>
    <s v="Discover fresh beats on Spotify!"/>
    <n v="3029"/>
    <n v="440"/>
    <n v="66"/>
    <x v="270"/>
    <n v="47895"/>
    <n v="210"/>
    <x v="4"/>
    <x v="0"/>
  </r>
  <r>
    <s v="SP272"/>
    <x v="1"/>
    <d v="2024-11-07T00:00:00"/>
    <x v="0"/>
    <s v="Explore the latest podcasts now."/>
    <n v="2229"/>
    <n v="395"/>
    <n v="328"/>
    <x v="271"/>
    <n v="37176"/>
    <n v="126"/>
    <x v="6"/>
    <x v="1"/>
  </r>
  <r>
    <s v="SP273"/>
    <x v="1"/>
    <d v="2024-02-12T00:00:00"/>
    <x v="0"/>
    <s v="Explore the latest podcasts now."/>
    <n v="2691"/>
    <n v="486"/>
    <n v="206"/>
    <x v="272"/>
    <n v="44583"/>
    <n v="276"/>
    <x v="5"/>
    <x v="0"/>
  </r>
  <r>
    <s v="SP274"/>
    <x v="0"/>
    <d v="2024-10-08T00:00:00"/>
    <x v="0"/>
    <s v="Explore the latest podcasts now."/>
    <n v="2110"/>
    <n v="384"/>
    <n v="236"/>
    <x v="273"/>
    <n v="61555"/>
    <n v="195"/>
    <x v="1"/>
    <x v="1"/>
  </r>
  <r>
    <s v="SP275"/>
    <x v="0"/>
    <d v="2024-02-19T00:00:00"/>
    <x v="0"/>
    <s v="Wrapped is here! Relive your top tracks ðŸŽ§"/>
    <n v="4752"/>
    <n v="449"/>
    <n v="309"/>
    <x v="274"/>
    <n v="26630"/>
    <n v="234"/>
    <x v="1"/>
    <x v="1"/>
  </r>
  <r>
    <s v="SP276"/>
    <x v="1"/>
    <d v="2025-03-04T00:00:00"/>
    <x v="0"/>
    <s v="Discover fresh beats on Spotify!"/>
    <n v="2177"/>
    <n v="258"/>
    <n v="292"/>
    <x v="275"/>
    <n v="51324"/>
    <n v="143"/>
    <x v="5"/>
    <x v="0"/>
  </r>
  <r>
    <s v="SP277"/>
    <x v="0"/>
    <d v="2025-02-03T00:00:00"/>
    <x v="1"/>
    <s v="New music just dropped. Hit play!"/>
    <n v="1205"/>
    <n v="486"/>
    <n v="269"/>
    <x v="276"/>
    <n v="42411"/>
    <n v="184"/>
    <x v="5"/>
    <x v="2"/>
  </r>
  <r>
    <s v="SP278"/>
    <x v="0"/>
    <d v="2024-12-02T00:00:00"/>
    <x v="0"/>
    <s v="Top trending tracks updated daily!"/>
    <n v="3194"/>
    <n v="292"/>
    <n v="245"/>
    <x v="277"/>
    <n v="65597"/>
    <n v="163"/>
    <x v="0"/>
    <x v="0"/>
  </r>
  <r>
    <s v="SP279"/>
    <x v="1"/>
    <d v="2025-01-19T00:00:00"/>
    <x v="1"/>
    <s v="New music just dropped. Hit play!"/>
    <n v="3507"/>
    <n v="295"/>
    <n v="371"/>
    <x v="278"/>
    <n v="53965"/>
    <n v="212"/>
    <x v="0"/>
    <x v="0"/>
  </r>
  <r>
    <s v="SP280"/>
    <x v="1"/>
    <d v="2024-09-28T00:00:00"/>
    <x v="1"/>
    <s v="Wrapped is here! Relive your top tracks ðŸŽ§"/>
    <n v="4471"/>
    <n v="317"/>
    <n v="249"/>
    <x v="279"/>
    <n v="33365"/>
    <n v="184"/>
    <x v="4"/>
    <x v="0"/>
  </r>
  <r>
    <s v="SP281"/>
    <x v="0"/>
    <d v="2024-01-07T00:00:00"/>
    <x v="0"/>
    <s v="Top trending tracks updated daily!"/>
    <n v="4931"/>
    <n v="469"/>
    <n v="193"/>
    <x v="280"/>
    <n v="69437"/>
    <n v="291"/>
    <x v="0"/>
    <x v="0"/>
  </r>
  <r>
    <s v="SP282"/>
    <x v="1"/>
    <d v="2024-02-21T00:00:00"/>
    <x v="1"/>
    <s v="Get into the groove with our new drop!"/>
    <n v="2604"/>
    <n v="439"/>
    <n v="148"/>
    <x v="281"/>
    <n v="39629"/>
    <n v="163"/>
    <x v="2"/>
    <x v="0"/>
  </r>
  <r>
    <s v="SP283"/>
    <x v="0"/>
    <d v="2024-08-27T00:00:00"/>
    <x v="0"/>
    <s v="Music that moves youâ€”only on Spotify."/>
    <n v="4197"/>
    <n v="359"/>
    <n v="280"/>
    <x v="282"/>
    <n v="70930"/>
    <n v="295"/>
    <x v="1"/>
    <x v="1"/>
  </r>
  <r>
    <s v="SP284"/>
    <x v="0"/>
    <d v="2024-10-24T00:00:00"/>
    <x v="1"/>
    <s v="Top trending tracks updated daily!"/>
    <n v="1914"/>
    <n v="255"/>
    <n v="156"/>
    <x v="283"/>
    <n v="47776"/>
    <n v="111"/>
    <x v="5"/>
    <x v="2"/>
  </r>
  <r>
    <s v="SP285"/>
    <x v="2"/>
    <d v="2025-01-29T00:00:00"/>
    <x v="0"/>
    <s v="New music just dropped. Hit play!"/>
    <n v="1334"/>
    <n v="357"/>
    <n v="257"/>
    <x v="284"/>
    <n v="70606"/>
    <n v="228"/>
    <x v="3"/>
    <x v="1"/>
  </r>
  <r>
    <s v="SP286"/>
    <x v="0"/>
    <d v="2024-05-01T00:00:00"/>
    <x v="0"/>
    <s v="Get into the groove with our new drop!"/>
    <n v="3359"/>
    <n v="137"/>
    <n v="387"/>
    <x v="285"/>
    <n v="47257"/>
    <n v="198"/>
    <x v="1"/>
    <x v="1"/>
  </r>
  <r>
    <s v="SP287"/>
    <x v="2"/>
    <d v="2024-06-25T00:00:00"/>
    <x v="0"/>
    <s v="Your weekend playlist is waiting."/>
    <n v="2172"/>
    <n v="338"/>
    <n v="70"/>
    <x v="286"/>
    <n v="57853"/>
    <n v="156"/>
    <x v="3"/>
    <x v="1"/>
  </r>
  <r>
    <s v="SP288"/>
    <x v="1"/>
    <d v="2024-08-09T00:00:00"/>
    <x v="1"/>
    <s v="From pop to podcasts, itâ€™s all here."/>
    <n v="4877"/>
    <n v="442"/>
    <n v="236"/>
    <x v="287"/>
    <n v="48241"/>
    <n v="114"/>
    <x v="4"/>
    <x v="0"/>
  </r>
  <r>
    <s v="SP289"/>
    <x v="0"/>
    <d v="2025-01-21T00:00:00"/>
    <x v="1"/>
    <s v="New music just dropped. Hit play!"/>
    <n v="4918"/>
    <n v="440"/>
    <n v="149"/>
    <x v="288"/>
    <n v="64370"/>
    <n v="269"/>
    <x v="5"/>
    <x v="2"/>
  </r>
  <r>
    <s v="SP290"/>
    <x v="1"/>
    <d v="2024-08-13T00:00:00"/>
    <x v="0"/>
    <s v="Explore the latest podcasts now."/>
    <n v="3418"/>
    <n v="107"/>
    <n v="221"/>
    <x v="289"/>
    <n v="26182"/>
    <n v="155"/>
    <x v="6"/>
    <x v="1"/>
  </r>
  <r>
    <s v="SP291"/>
    <x v="0"/>
    <d v="2024-06-29T00:00:00"/>
    <x v="0"/>
    <s v="Your weekend playlist is waiting."/>
    <n v="2088"/>
    <n v="490"/>
    <n v="124"/>
    <x v="290"/>
    <n v="69346"/>
    <n v="178"/>
    <x v="0"/>
    <x v="0"/>
  </r>
  <r>
    <s v="SP292"/>
    <x v="1"/>
    <d v="2024-11-03T00:00:00"/>
    <x v="1"/>
    <s v="Explore the latest podcasts now."/>
    <n v="3061"/>
    <n v="320"/>
    <n v="76"/>
    <x v="291"/>
    <n v="24306"/>
    <n v="112"/>
    <x v="2"/>
    <x v="0"/>
  </r>
  <r>
    <s v="SP293"/>
    <x v="2"/>
    <d v="2025-04-18T00:00:00"/>
    <x v="2"/>
    <s v="Your weekend playlist is waiting."/>
    <n v="1265"/>
    <n v="230"/>
    <n v="364"/>
    <x v="292"/>
    <n v="50382"/>
    <n v="106"/>
    <x v="7"/>
    <x v="3"/>
  </r>
  <r>
    <s v="SP294"/>
    <x v="0"/>
    <d v="2024-12-27T00:00:00"/>
    <x v="0"/>
    <s v="From pop to podcasts, itâ€™s all here."/>
    <n v="1436"/>
    <n v="219"/>
    <n v="229"/>
    <x v="293"/>
    <n v="24314"/>
    <n v="147"/>
    <x v="1"/>
    <x v="1"/>
  </r>
  <r>
    <s v="SP295"/>
    <x v="0"/>
    <d v="2025-03-08T00:00:00"/>
    <x v="1"/>
    <s v="Top trending tracks updated daily!"/>
    <n v="2244"/>
    <n v="392"/>
    <n v="231"/>
    <x v="294"/>
    <n v="50906"/>
    <n v="165"/>
    <x v="5"/>
    <x v="2"/>
  </r>
  <r>
    <s v="SP296"/>
    <x v="1"/>
    <d v="2025-03-20T00:00:00"/>
    <x v="1"/>
    <s v="Your weekend playlist is waiting."/>
    <n v="3393"/>
    <n v="104"/>
    <n v="79"/>
    <x v="295"/>
    <n v="21593"/>
    <n v="165"/>
    <x v="2"/>
    <x v="0"/>
  </r>
  <r>
    <s v="SP297"/>
    <x v="1"/>
    <d v="2024-11-16T00:00:00"/>
    <x v="0"/>
    <s v="Explore the latest podcasts now."/>
    <n v="2901"/>
    <n v="108"/>
    <n v="86"/>
    <x v="296"/>
    <n v="23773"/>
    <n v="160"/>
    <x v="6"/>
    <x v="1"/>
  </r>
  <r>
    <s v="SP298"/>
    <x v="1"/>
    <d v="2025-06-30T00:00:00"/>
    <x v="0"/>
    <s v="Whatâ€™s your vibe today? #SpotifyHits"/>
    <n v="2275"/>
    <n v="285"/>
    <n v="125"/>
    <x v="297"/>
    <n v="74761"/>
    <n v="83"/>
    <x v="5"/>
    <x v="0"/>
  </r>
  <r>
    <s v="SP299"/>
    <x v="1"/>
    <d v="2024-01-12T00:00:00"/>
    <x v="1"/>
    <s v="Wrapped is here! Relive your top tracks ðŸŽ§"/>
    <n v="2227"/>
    <n v="494"/>
    <n v="161"/>
    <x v="298"/>
    <n v="68074"/>
    <n v="240"/>
    <x v="4"/>
    <x v="0"/>
  </r>
  <r>
    <s v="SP300"/>
    <x v="0"/>
    <d v="2024-02-07T00:00:00"/>
    <x v="0"/>
    <s v="Music that moves youâ€”only on Spotify."/>
    <n v="1883"/>
    <n v="432"/>
    <n v="397"/>
    <x v="299"/>
    <n v="18691"/>
    <n v="27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</r>
  <r>
    <x v="0"/>
    <x v="1"/>
    <n v="995"/>
    <n v="86"/>
    <n v="227958"/>
    <n v="8.0500000000000007"/>
    <n v="22788"/>
  </r>
  <r>
    <x v="0"/>
    <x v="2"/>
    <n v="1472"/>
    <n v="296"/>
    <n v="370242"/>
    <n v="7.72"/>
    <n v="7810"/>
  </r>
  <r>
    <x v="1"/>
    <x v="0"/>
    <n v="1018"/>
    <n v="90"/>
    <n v="92474"/>
    <n v="9.4"/>
    <n v="11966"/>
  </r>
  <r>
    <x v="1"/>
    <x v="1"/>
    <n v="1461"/>
    <n v="64"/>
    <n v="328902"/>
    <n v="9.02"/>
    <n v="26298"/>
  </r>
  <r>
    <x v="1"/>
    <x v="2"/>
    <n v="545"/>
    <n v="93"/>
    <n v="391621"/>
    <n v="9.9600000000000009"/>
    <n v="22029"/>
  </r>
  <r>
    <x v="2"/>
    <x v="0"/>
    <n v="881"/>
    <n v="291"/>
    <n v="95885"/>
    <n v="5.29"/>
    <n v="12391"/>
  </r>
  <r>
    <x v="2"/>
    <x v="1"/>
    <n v="1414"/>
    <n v="131"/>
    <n v="245947"/>
    <n v="8.3000000000000007"/>
    <n v="14477"/>
  </r>
  <r>
    <x v="2"/>
    <x v="2"/>
    <n v="1472"/>
    <n v="170"/>
    <n v="250428"/>
    <n v="4.66"/>
    <n v="25040"/>
  </r>
  <r>
    <x v="3"/>
    <x v="0"/>
    <n v="809"/>
    <n v="197"/>
    <n v="87186"/>
    <n v="9.48"/>
    <n v="22619"/>
  </r>
  <r>
    <x v="3"/>
    <x v="1"/>
    <n v="1371"/>
    <n v="250"/>
    <n v="128620"/>
    <n v="7.11"/>
    <n v="12399"/>
  </r>
  <r>
    <x v="3"/>
    <x v="2"/>
    <n v="844"/>
    <n v="144"/>
    <n v="126015"/>
    <n v="9.65"/>
    <n v="22456"/>
  </r>
  <r>
    <x v="4"/>
    <x v="0"/>
    <n v="786"/>
    <n v="72"/>
    <n v="178615"/>
    <n v="5.43"/>
    <n v="19328"/>
  </r>
  <r>
    <x v="4"/>
    <x v="1"/>
    <n v="845"/>
    <n v="250"/>
    <n v="218228"/>
    <n v="4.5199999999999996"/>
    <n v="21107"/>
  </r>
  <r>
    <x v="4"/>
    <x v="2"/>
    <n v="1218"/>
    <n v="101"/>
    <n v="300397"/>
    <n v="4.33"/>
    <n v="12277"/>
  </r>
  <r>
    <x v="5"/>
    <x v="0"/>
    <n v="797"/>
    <n v="130"/>
    <n v="340121"/>
    <n v="8.52"/>
    <n v="11684"/>
  </r>
  <r>
    <x v="5"/>
    <x v="1"/>
    <n v="1471"/>
    <n v="100"/>
    <n v="76866"/>
    <n v="8.5500000000000007"/>
    <n v="14412"/>
  </r>
  <r>
    <x v="5"/>
    <x v="2"/>
    <n v="1253"/>
    <n v="136"/>
    <n v="193131"/>
    <n v="7.99"/>
    <n v="15924"/>
  </r>
  <r>
    <x v="6"/>
    <x v="0"/>
    <n v="616"/>
    <n v="257"/>
    <n v="169665"/>
    <n v="6.31"/>
    <n v="12390"/>
  </r>
  <r>
    <x v="6"/>
    <x v="1"/>
    <n v="1308"/>
    <n v="210"/>
    <n v="263729"/>
    <n v="8.5299999999999994"/>
    <n v="25742"/>
  </r>
  <r>
    <x v="6"/>
    <x v="2"/>
    <n v="981"/>
    <n v="69"/>
    <n v="206921"/>
    <n v="8.42"/>
    <n v="10495"/>
  </r>
  <r>
    <x v="7"/>
    <x v="0"/>
    <n v="866"/>
    <n v="74"/>
    <n v="204121"/>
    <n v="9.34"/>
    <n v="7797"/>
  </r>
  <r>
    <x v="7"/>
    <x v="1"/>
    <n v="547"/>
    <n v="183"/>
    <n v="266350"/>
    <n v="5.65"/>
    <n v="15595"/>
  </r>
  <r>
    <x v="7"/>
    <x v="2"/>
    <n v="1241"/>
    <n v="116"/>
    <n v="380606"/>
    <n v="4.2"/>
    <n v="24617"/>
  </r>
  <r>
    <x v="8"/>
    <x v="0"/>
    <n v="973"/>
    <n v="104"/>
    <n v="376358"/>
    <n v="3.87"/>
    <n v="9847"/>
  </r>
  <r>
    <x v="8"/>
    <x v="1"/>
    <n v="611"/>
    <n v="197"/>
    <n v="79423"/>
    <n v="5.82"/>
    <n v="13644"/>
  </r>
  <r>
    <x v="8"/>
    <x v="2"/>
    <n v="983"/>
    <n v="134"/>
    <n v="352178"/>
    <n v="3.55"/>
    <n v="11421"/>
  </r>
  <r>
    <x v="9"/>
    <x v="0"/>
    <n v="1449"/>
    <n v="96"/>
    <n v="200636"/>
    <n v="9.92"/>
    <n v="15613"/>
  </r>
  <r>
    <x v="9"/>
    <x v="1"/>
    <n v="752"/>
    <n v="170"/>
    <n v="132756"/>
    <n v="8.17"/>
    <n v="23900"/>
  </r>
  <r>
    <x v="9"/>
    <x v="2"/>
    <n v="937"/>
    <n v="179"/>
    <n v="318098"/>
    <n v="5.3"/>
    <n v="5836"/>
  </r>
  <r>
    <x v="10"/>
    <x v="0"/>
    <n v="1060"/>
    <n v="83"/>
    <n v="68724"/>
    <n v="5.98"/>
    <n v="5624"/>
  </r>
  <r>
    <x v="10"/>
    <x v="1"/>
    <n v="1456"/>
    <n v="265"/>
    <n v="115505"/>
    <n v="7.49"/>
    <n v="10311"/>
  </r>
  <r>
    <x v="10"/>
    <x v="2"/>
    <n v="1109"/>
    <n v="205"/>
    <n v="276722"/>
    <n v="9.3800000000000008"/>
    <n v="8274"/>
  </r>
  <r>
    <x v="11"/>
    <x v="0"/>
    <n v="1002"/>
    <n v="93"/>
    <n v="353538"/>
    <n v="5.84"/>
    <n v="6031"/>
  </r>
  <r>
    <x v="11"/>
    <x v="1"/>
    <n v="571"/>
    <n v="189"/>
    <n v="61445"/>
    <n v="5.41"/>
    <n v="27829"/>
  </r>
  <r>
    <x v="11"/>
    <x v="2"/>
    <n v="1240"/>
    <n v="231"/>
    <n v="165035"/>
    <n v="6.05"/>
    <n v="18267"/>
  </r>
  <r>
    <x v="12"/>
    <x v="0"/>
    <n v="1154"/>
    <n v="132"/>
    <n v="194595"/>
    <n v="7.54"/>
    <n v="26624"/>
  </r>
  <r>
    <x v="12"/>
    <x v="1"/>
    <n v="537"/>
    <n v="275"/>
    <n v="236238"/>
    <n v="5.87"/>
    <n v="26644"/>
  </r>
  <r>
    <x v="12"/>
    <x v="2"/>
    <n v="1456"/>
    <n v="290"/>
    <n v="271044"/>
    <n v="7.17"/>
    <n v="13051"/>
  </r>
  <r>
    <x v="13"/>
    <x v="0"/>
    <n v="721"/>
    <n v="206"/>
    <n v="334887"/>
    <n v="6.05"/>
    <n v="14217"/>
  </r>
  <r>
    <x v="13"/>
    <x v="1"/>
    <n v="1098"/>
    <n v="142"/>
    <n v="359150"/>
    <n v="7.51"/>
    <n v="16385"/>
  </r>
  <r>
    <x v="13"/>
    <x v="2"/>
    <n v="1096"/>
    <n v="65"/>
    <n v="358295"/>
    <n v="7.66"/>
    <n v="24548"/>
  </r>
  <r>
    <x v="14"/>
    <x v="0"/>
    <n v="912"/>
    <n v="275"/>
    <n v="368454"/>
    <n v="6.03"/>
    <n v="9195"/>
  </r>
  <r>
    <x v="14"/>
    <x v="1"/>
    <n v="1430"/>
    <n v="162"/>
    <n v="269082"/>
    <n v="3.4"/>
    <n v="18071"/>
  </r>
  <r>
    <x v="14"/>
    <x v="2"/>
    <n v="854"/>
    <n v="129"/>
    <n v="310903"/>
    <n v="7.83"/>
    <n v="16875"/>
  </r>
  <r>
    <x v="15"/>
    <x v="0"/>
    <n v="681"/>
    <n v="210"/>
    <n v="248581"/>
    <n v="8.76"/>
    <n v="9567"/>
  </r>
  <r>
    <x v="15"/>
    <x v="1"/>
    <n v="1373"/>
    <n v="82"/>
    <n v="371015"/>
    <n v="9.52"/>
    <n v="20306"/>
  </r>
  <r>
    <x v="15"/>
    <x v="2"/>
    <n v="685"/>
    <n v="285"/>
    <n v="177452"/>
    <n v="3.36"/>
    <n v="21134"/>
  </r>
  <r>
    <x v="16"/>
    <x v="0"/>
    <n v="1290"/>
    <n v="177"/>
    <n v="80745"/>
    <n v="9.2200000000000006"/>
    <n v="26872"/>
  </r>
  <r>
    <x v="16"/>
    <x v="1"/>
    <n v="1437"/>
    <n v="239"/>
    <n v="362441"/>
    <n v="5.57"/>
    <n v="10253"/>
  </r>
  <r>
    <x v="16"/>
    <x v="2"/>
    <n v="769"/>
    <n v="295"/>
    <n v="344771"/>
    <n v="8.06"/>
    <n v="23963"/>
  </r>
  <r>
    <x v="17"/>
    <x v="0"/>
    <n v="1416"/>
    <n v="284"/>
    <n v="374952"/>
    <n v="3.45"/>
    <n v="11335"/>
  </r>
  <r>
    <x v="17"/>
    <x v="1"/>
    <n v="998"/>
    <n v="154"/>
    <n v="179781"/>
    <n v="9.58"/>
    <n v="12115"/>
  </r>
  <r>
    <x v="17"/>
    <x v="2"/>
    <n v="1421"/>
    <n v="246"/>
    <n v="358581"/>
    <n v="8.8800000000000008"/>
    <n v="24358"/>
  </r>
  <r>
    <x v="18"/>
    <x v="0"/>
    <n v="764"/>
    <n v="205"/>
    <n v="319294"/>
    <n v="6.23"/>
    <n v="12181"/>
  </r>
  <r>
    <x v="18"/>
    <x v="1"/>
    <n v="678"/>
    <n v="124"/>
    <n v="192022"/>
    <n v="8.4499999999999993"/>
    <n v="17729"/>
  </r>
  <r>
    <x v="18"/>
    <x v="2"/>
    <n v="1328"/>
    <n v="103"/>
    <n v="151462"/>
    <n v="8.4"/>
    <n v="10881"/>
  </r>
  <r>
    <x v="19"/>
    <x v="0"/>
    <n v="1161"/>
    <n v="269"/>
    <n v="188193"/>
    <n v="7.34"/>
    <n v="18576"/>
  </r>
  <r>
    <x v="19"/>
    <x v="1"/>
    <n v="588"/>
    <n v="52"/>
    <n v="292040"/>
    <n v="8.14"/>
    <n v="9383"/>
  </r>
  <r>
    <x v="19"/>
    <x v="2"/>
    <n v="1457"/>
    <n v="215"/>
    <n v="325325"/>
    <n v="9.58"/>
    <n v="14178"/>
  </r>
  <r>
    <x v="20"/>
    <x v="0"/>
    <n v="1190"/>
    <n v="242"/>
    <n v="86849"/>
    <n v="8.06"/>
    <n v="21254"/>
  </r>
  <r>
    <x v="20"/>
    <x v="1"/>
    <n v="886"/>
    <n v="124"/>
    <n v="141161"/>
    <n v="8.19"/>
    <n v="14215"/>
  </r>
  <r>
    <x v="20"/>
    <x v="2"/>
    <n v="1237"/>
    <n v="155"/>
    <n v="149916"/>
    <n v="4.4800000000000004"/>
    <n v="16921"/>
  </r>
  <r>
    <x v="21"/>
    <x v="0"/>
    <n v="1435"/>
    <n v="261"/>
    <n v="308533"/>
    <n v="4.5199999999999996"/>
    <n v="25130"/>
  </r>
  <r>
    <x v="21"/>
    <x v="1"/>
    <n v="746"/>
    <n v="282"/>
    <n v="293894"/>
    <n v="5.42"/>
    <n v="25537"/>
  </r>
  <r>
    <x v="21"/>
    <x v="2"/>
    <n v="759"/>
    <n v="216"/>
    <n v="147656"/>
    <n v="4.08"/>
    <n v="24943"/>
  </r>
  <r>
    <x v="22"/>
    <x v="0"/>
    <n v="1437"/>
    <n v="235"/>
    <n v="326791"/>
    <n v="4.0599999999999996"/>
    <n v="14563"/>
  </r>
  <r>
    <x v="22"/>
    <x v="1"/>
    <n v="1463"/>
    <n v="73"/>
    <n v="348877"/>
    <n v="9.91"/>
    <n v="26273"/>
  </r>
  <r>
    <x v="22"/>
    <x v="2"/>
    <n v="1208"/>
    <n v="224"/>
    <n v="122730"/>
    <n v="8.7200000000000006"/>
    <n v="10858"/>
  </r>
  <r>
    <x v="23"/>
    <x v="0"/>
    <n v="1391"/>
    <n v="187"/>
    <n v="306508"/>
    <n v="8.3800000000000008"/>
    <n v="25038"/>
  </r>
  <r>
    <x v="23"/>
    <x v="1"/>
    <n v="655"/>
    <n v="123"/>
    <n v="202472"/>
    <n v="7.56"/>
    <n v="9092"/>
  </r>
  <r>
    <x v="23"/>
    <x v="2"/>
    <n v="1148"/>
    <n v="90"/>
    <n v="227249"/>
    <n v="7.24"/>
    <n v="17662"/>
  </r>
  <r>
    <x v="24"/>
    <x v="0"/>
    <n v="946"/>
    <n v="270"/>
    <n v="246567"/>
    <n v="4.53"/>
    <n v="5924"/>
  </r>
  <r>
    <x v="24"/>
    <x v="1"/>
    <n v="791"/>
    <n v="214"/>
    <n v="114738"/>
    <n v="6.62"/>
    <n v="25347"/>
  </r>
  <r>
    <x v="24"/>
    <x v="2"/>
    <n v="793"/>
    <n v="111"/>
    <n v="333500"/>
    <n v="6.36"/>
    <n v="8910"/>
  </r>
  <r>
    <x v="25"/>
    <x v="0"/>
    <n v="663"/>
    <n v="213"/>
    <n v="352677"/>
    <n v="9"/>
    <n v="20438"/>
  </r>
  <r>
    <x v="25"/>
    <x v="1"/>
    <n v="954"/>
    <n v="271"/>
    <n v="160936"/>
    <n v="8.83"/>
    <n v="8760"/>
  </r>
  <r>
    <x v="25"/>
    <x v="2"/>
    <n v="1313"/>
    <n v="159"/>
    <n v="197183"/>
    <n v="9.7100000000000009"/>
    <n v="6625"/>
  </r>
  <r>
    <x v="26"/>
    <x v="0"/>
    <n v="895"/>
    <n v="87"/>
    <n v="171271"/>
    <n v="6.68"/>
    <n v="23329"/>
  </r>
  <r>
    <x v="26"/>
    <x v="1"/>
    <n v="1027"/>
    <n v="156"/>
    <n v="111293"/>
    <n v="5.51"/>
    <n v="7299"/>
  </r>
  <r>
    <x v="26"/>
    <x v="2"/>
    <n v="990"/>
    <n v="286"/>
    <n v="351493"/>
    <n v="7.97"/>
    <n v="14496"/>
  </r>
  <r>
    <x v="27"/>
    <x v="0"/>
    <n v="875"/>
    <n v="264"/>
    <n v="345631"/>
    <n v="9.18"/>
    <n v="25703"/>
  </r>
  <r>
    <x v="27"/>
    <x v="1"/>
    <n v="599"/>
    <n v="194"/>
    <n v="105622"/>
    <n v="6.44"/>
    <n v="15108"/>
  </r>
  <r>
    <x v="27"/>
    <x v="2"/>
    <n v="630"/>
    <n v="248"/>
    <n v="119054"/>
    <n v="5.0199999999999996"/>
    <n v="18867"/>
  </r>
  <r>
    <x v="28"/>
    <x v="0"/>
    <n v="1350"/>
    <n v="233"/>
    <n v="171670"/>
    <n v="4.53"/>
    <n v="17574"/>
  </r>
  <r>
    <x v="28"/>
    <x v="1"/>
    <n v="632"/>
    <n v="155"/>
    <n v="170432"/>
    <n v="9.17"/>
    <n v="12840"/>
  </r>
  <r>
    <x v="28"/>
    <x v="2"/>
    <n v="1182"/>
    <n v="83"/>
    <n v="140300"/>
    <n v="3.27"/>
    <n v="21079"/>
  </r>
  <r>
    <x v="29"/>
    <x v="0"/>
    <n v="661"/>
    <n v="94"/>
    <n v="116538"/>
    <n v="5.31"/>
    <n v="23486"/>
  </r>
  <r>
    <x v="29"/>
    <x v="1"/>
    <n v="1360"/>
    <n v="227"/>
    <n v="176902"/>
    <n v="6.03"/>
    <n v="5960"/>
  </r>
  <r>
    <x v="29"/>
    <x v="2"/>
    <n v="935"/>
    <n v="85"/>
    <n v="326821"/>
    <n v="8.89"/>
    <n v="13301"/>
  </r>
  <r>
    <x v="30"/>
    <x v="0"/>
    <n v="664"/>
    <n v="251"/>
    <n v="240598"/>
    <n v="4.79"/>
    <n v="10563"/>
  </r>
  <r>
    <x v="30"/>
    <x v="1"/>
    <n v="1490"/>
    <n v="103"/>
    <n v="373274"/>
    <n v="4.8"/>
    <n v="19949"/>
  </r>
  <r>
    <x v="30"/>
    <x v="2"/>
    <n v="601"/>
    <n v="64"/>
    <n v="123272"/>
    <n v="4.07"/>
    <n v="14273"/>
  </r>
  <r>
    <x v="31"/>
    <x v="0"/>
    <n v="613"/>
    <n v="170"/>
    <n v="139266"/>
    <n v="6.06"/>
    <n v="9247"/>
  </r>
  <r>
    <x v="31"/>
    <x v="1"/>
    <n v="1340"/>
    <n v="57"/>
    <n v="155927"/>
    <n v="7.79"/>
    <n v="11972"/>
  </r>
  <r>
    <x v="31"/>
    <x v="2"/>
    <n v="953"/>
    <n v="228"/>
    <n v="258398"/>
    <n v="9.0500000000000007"/>
    <n v="13314"/>
  </r>
  <r>
    <x v="32"/>
    <x v="0"/>
    <n v="532"/>
    <n v="65"/>
    <n v="338561"/>
    <n v="3.5"/>
    <n v="14749"/>
  </r>
  <r>
    <x v="32"/>
    <x v="1"/>
    <n v="1414"/>
    <n v="60"/>
    <n v="341856"/>
    <n v="8.76"/>
    <n v="6868"/>
  </r>
  <r>
    <x v="32"/>
    <x v="2"/>
    <n v="685"/>
    <n v="165"/>
    <n v="175860"/>
    <n v="6.26"/>
    <n v="6027"/>
  </r>
  <r>
    <x v="33"/>
    <x v="0"/>
    <n v="601"/>
    <n v="159"/>
    <n v="327722"/>
    <n v="3.33"/>
    <n v="25267"/>
  </r>
  <r>
    <x v="33"/>
    <x v="1"/>
    <n v="841"/>
    <n v="295"/>
    <n v="271638"/>
    <n v="9.15"/>
    <n v="5900"/>
  </r>
  <r>
    <x v="33"/>
    <x v="2"/>
    <n v="1105"/>
    <n v="261"/>
    <n v="333851"/>
    <n v="6.03"/>
    <n v="11181"/>
  </r>
  <r>
    <x v="34"/>
    <x v="0"/>
    <n v="566"/>
    <n v="225"/>
    <n v="368984"/>
    <n v="9.82"/>
    <n v="9592"/>
  </r>
  <r>
    <x v="34"/>
    <x v="1"/>
    <n v="1149"/>
    <n v="280"/>
    <n v="167310"/>
    <n v="3.7"/>
    <n v="5291"/>
  </r>
  <r>
    <x v="34"/>
    <x v="2"/>
    <n v="819"/>
    <n v="101"/>
    <n v="194811"/>
    <n v="3.35"/>
    <n v="22244"/>
  </r>
  <r>
    <x v="35"/>
    <x v="0"/>
    <n v="795"/>
    <n v="60"/>
    <n v="314982"/>
    <n v="7.31"/>
    <n v="6824"/>
  </r>
  <r>
    <x v="35"/>
    <x v="1"/>
    <n v="681"/>
    <n v="158"/>
    <n v="75960"/>
    <n v="3.13"/>
    <n v="24112"/>
  </r>
  <r>
    <x v="35"/>
    <x v="2"/>
    <n v="534"/>
    <n v="112"/>
    <n v="360759"/>
    <n v="4.8899999999999997"/>
    <n v="25478"/>
  </r>
  <r>
    <x v="36"/>
    <x v="0"/>
    <n v="1066"/>
    <n v="151"/>
    <n v="297090"/>
    <n v="8.6300000000000008"/>
    <n v="11235"/>
  </r>
  <r>
    <x v="36"/>
    <x v="1"/>
    <n v="1270"/>
    <n v="162"/>
    <n v="92040"/>
    <n v="8.0299999999999994"/>
    <n v="6120"/>
  </r>
  <r>
    <x v="36"/>
    <x v="2"/>
    <n v="536"/>
    <n v="198"/>
    <n v="174610"/>
    <n v="7.85"/>
    <n v="20572"/>
  </r>
  <r>
    <x v="37"/>
    <x v="0"/>
    <n v="819"/>
    <n v="95"/>
    <n v="177376"/>
    <n v="6.12"/>
    <n v="14975"/>
  </r>
  <r>
    <x v="37"/>
    <x v="1"/>
    <n v="681"/>
    <n v="218"/>
    <n v="198882"/>
    <n v="7.16"/>
    <n v="22234"/>
  </r>
  <r>
    <x v="37"/>
    <x v="2"/>
    <n v="646"/>
    <n v="290"/>
    <n v="336383"/>
    <n v="7.04"/>
    <n v="6532"/>
  </r>
  <r>
    <x v="38"/>
    <x v="0"/>
    <n v="645"/>
    <n v="267"/>
    <n v="346890"/>
    <n v="3.71"/>
    <n v="24858"/>
  </r>
  <r>
    <x v="38"/>
    <x v="1"/>
    <n v="886"/>
    <n v="250"/>
    <n v="168170"/>
    <n v="4.12"/>
    <n v="13883"/>
  </r>
  <r>
    <x v="38"/>
    <x v="2"/>
    <n v="978"/>
    <n v="279"/>
    <n v="368872"/>
    <n v="6.82"/>
    <n v="18654"/>
  </r>
  <r>
    <x v="39"/>
    <x v="0"/>
    <n v="1444"/>
    <n v="165"/>
    <n v="116436"/>
    <n v="8.2200000000000006"/>
    <n v="25234"/>
  </r>
  <r>
    <x v="39"/>
    <x v="1"/>
    <n v="1234"/>
    <n v="228"/>
    <n v="127502"/>
    <n v="7.71"/>
    <n v="6772"/>
  </r>
  <r>
    <x v="39"/>
    <x v="2"/>
    <n v="665"/>
    <n v="187"/>
    <n v="274567"/>
    <n v="7.39"/>
    <n v="22428"/>
  </r>
  <r>
    <x v="40"/>
    <x v="0"/>
    <n v="631"/>
    <n v="86"/>
    <n v="295090"/>
    <n v="7.89"/>
    <n v="11911"/>
  </r>
  <r>
    <x v="40"/>
    <x v="1"/>
    <n v="1159"/>
    <n v="154"/>
    <n v="194994"/>
    <n v="6.39"/>
    <n v="21900"/>
  </r>
  <r>
    <x v="40"/>
    <x v="2"/>
    <n v="950"/>
    <n v="185"/>
    <n v="340750"/>
    <n v="6.77"/>
    <n v="25542"/>
  </r>
  <r>
    <x v="41"/>
    <x v="0"/>
    <n v="693"/>
    <n v="129"/>
    <n v="296031"/>
    <n v="3.41"/>
    <n v="7140"/>
  </r>
  <r>
    <x v="41"/>
    <x v="1"/>
    <n v="576"/>
    <n v="80"/>
    <n v="345688"/>
    <n v="4.1100000000000003"/>
    <n v="20474"/>
  </r>
  <r>
    <x v="41"/>
    <x v="2"/>
    <n v="1274"/>
    <n v="146"/>
    <n v="263488"/>
    <n v="9.58"/>
    <n v="8698"/>
  </r>
  <r>
    <x v="42"/>
    <x v="0"/>
    <n v="818"/>
    <n v="253"/>
    <n v="184911"/>
    <n v="3.39"/>
    <n v="10402"/>
  </r>
  <r>
    <x v="42"/>
    <x v="1"/>
    <n v="975"/>
    <n v="162"/>
    <n v="124497"/>
    <n v="9.58"/>
    <n v="26618"/>
  </r>
  <r>
    <x v="42"/>
    <x v="2"/>
    <n v="1398"/>
    <n v="97"/>
    <n v="397607"/>
    <n v="5.09"/>
    <n v="7975"/>
  </r>
  <r>
    <x v="43"/>
    <x v="0"/>
    <n v="591"/>
    <n v="155"/>
    <n v="138521"/>
    <n v="7.85"/>
    <n v="19054"/>
  </r>
  <r>
    <x v="43"/>
    <x v="1"/>
    <n v="1232"/>
    <n v="254"/>
    <n v="107718"/>
    <n v="9.7100000000000009"/>
    <n v="13740"/>
  </r>
  <r>
    <x v="43"/>
    <x v="2"/>
    <n v="1425"/>
    <n v="58"/>
    <n v="202234"/>
    <n v="6.67"/>
    <n v="18442"/>
  </r>
  <r>
    <x v="44"/>
    <x v="0"/>
    <n v="1417"/>
    <n v="80"/>
    <n v="340987"/>
    <n v="6.13"/>
    <n v="10104"/>
  </r>
  <r>
    <x v="44"/>
    <x v="1"/>
    <n v="1222"/>
    <n v="208"/>
    <n v="340098"/>
    <n v="7.34"/>
    <n v="21771"/>
  </r>
  <r>
    <x v="44"/>
    <x v="2"/>
    <n v="1071"/>
    <n v="131"/>
    <n v="254727"/>
    <n v="6.87"/>
    <n v="22191"/>
  </r>
  <r>
    <x v="45"/>
    <x v="0"/>
    <n v="772"/>
    <n v="82"/>
    <n v="345659"/>
    <n v="3.52"/>
    <n v="27753"/>
  </r>
  <r>
    <x v="45"/>
    <x v="1"/>
    <n v="1472"/>
    <n v="137"/>
    <n v="213950"/>
    <n v="6.96"/>
    <n v="23736"/>
  </r>
  <r>
    <x v="45"/>
    <x v="2"/>
    <n v="1472"/>
    <n v="281"/>
    <n v="258115"/>
    <n v="7.23"/>
    <n v="27393"/>
  </r>
  <r>
    <x v="46"/>
    <x v="0"/>
    <n v="585"/>
    <n v="232"/>
    <n v="321258"/>
    <n v="7.42"/>
    <n v="10343"/>
  </r>
  <r>
    <x v="46"/>
    <x v="1"/>
    <n v="747"/>
    <n v="261"/>
    <n v="338650"/>
    <n v="7.73"/>
    <n v="25259"/>
  </r>
  <r>
    <x v="46"/>
    <x v="2"/>
    <n v="1113"/>
    <n v="224"/>
    <n v="272989"/>
    <n v="5.13"/>
    <n v="24827"/>
  </r>
  <r>
    <x v="47"/>
    <x v="0"/>
    <n v="1100"/>
    <n v="117"/>
    <n v="260204"/>
    <n v="4.4000000000000004"/>
    <n v="11908"/>
  </r>
  <r>
    <x v="47"/>
    <x v="1"/>
    <n v="751"/>
    <n v="170"/>
    <n v="283278"/>
    <n v="3.49"/>
    <n v="11005"/>
  </r>
  <r>
    <x v="47"/>
    <x v="2"/>
    <n v="864"/>
    <n v="50"/>
    <n v="277445"/>
    <n v="3.57"/>
    <n v="26333"/>
  </r>
  <r>
    <x v="48"/>
    <x v="0"/>
    <n v="1146"/>
    <n v="227"/>
    <n v="353781"/>
    <n v="6.41"/>
    <n v="5495"/>
  </r>
  <r>
    <x v="48"/>
    <x v="1"/>
    <n v="883"/>
    <n v="207"/>
    <n v="265019"/>
    <n v="6.04"/>
    <n v="15655"/>
  </r>
  <r>
    <x v="48"/>
    <x v="2"/>
    <n v="622"/>
    <n v="163"/>
    <n v="231925"/>
    <n v="9.18"/>
    <n v="13763"/>
  </r>
  <r>
    <x v="49"/>
    <x v="0"/>
    <n v="837"/>
    <n v="261"/>
    <n v="366149"/>
    <n v="6.54"/>
    <n v="26073"/>
  </r>
  <r>
    <x v="49"/>
    <x v="1"/>
    <n v="544"/>
    <n v="97"/>
    <n v="168375"/>
    <n v="8.66"/>
    <n v="12774"/>
  </r>
  <r>
    <x v="49"/>
    <x v="2"/>
    <n v="624"/>
    <n v="247"/>
    <n v="252763"/>
    <n v="3.89"/>
    <n v="19000"/>
  </r>
  <r>
    <x v="50"/>
    <x v="0"/>
    <n v="1073"/>
    <n v="141"/>
    <n v="118393"/>
    <n v="7.95"/>
    <n v="14051"/>
  </r>
  <r>
    <x v="50"/>
    <x v="1"/>
    <n v="1430"/>
    <n v="74"/>
    <n v="327012"/>
    <n v="6.66"/>
    <n v="27782"/>
  </r>
  <r>
    <x v="50"/>
    <x v="2"/>
    <n v="1358"/>
    <n v="77"/>
    <n v="169688"/>
    <n v="5.25"/>
    <n v="7859"/>
  </r>
  <r>
    <x v="51"/>
    <x v="0"/>
    <n v="1242"/>
    <n v="201"/>
    <n v="271935"/>
    <n v="5.07"/>
    <n v="15773"/>
  </r>
  <r>
    <x v="51"/>
    <x v="1"/>
    <n v="1389"/>
    <n v="205"/>
    <n v="315981"/>
    <n v="7.62"/>
    <n v="20595"/>
  </r>
  <r>
    <x v="51"/>
    <x v="2"/>
    <n v="826"/>
    <n v="142"/>
    <n v="341016"/>
    <n v="7.44"/>
    <n v="12031"/>
  </r>
  <r>
    <x v="52"/>
    <x v="0"/>
    <n v="618"/>
    <n v="264"/>
    <n v="285164"/>
    <n v="4.8600000000000003"/>
    <n v="15128"/>
  </r>
  <r>
    <x v="52"/>
    <x v="1"/>
    <n v="1419"/>
    <n v="293"/>
    <n v="116632"/>
    <n v="6.93"/>
    <n v="11826"/>
  </r>
  <r>
    <x v="52"/>
    <x v="2"/>
    <n v="637"/>
    <n v="68"/>
    <n v="115694"/>
    <n v="9.99"/>
    <n v="12562"/>
  </r>
  <r>
    <x v="53"/>
    <x v="0"/>
    <n v="917"/>
    <n v="187"/>
    <n v="64444"/>
    <n v="5.22"/>
    <n v="13013"/>
  </r>
  <r>
    <x v="53"/>
    <x v="1"/>
    <n v="810"/>
    <n v="232"/>
    <n v="362559"/>
    <n v="5.17"/>
    <n v="12937"/>
  </r>
  <r>
    <x v="53"/>
    <x v="2"/>
    <n v="1183"/>
    <n v="248"/>
    <n v="226881"/>
    <n v="5.17"/>
    <n v="14534"/>
  </r>
  <r>
    <x v="54"/>
    <x v="0"/>
    <n v="765"/>
    <n v="67"/>
    <n v="283537"/>
    <n v="6.18"/>
    <n v="8182"/>
  </r>
  <r>
    <x v="54"/>
    <x v="1"/>
    <n v="540"/>
    <n v="215"/>
    <n v="62837"/>
    <n v="5.3"/>
    <n v="10615"/>
  </r>
  <r>
    <x v="54"/>
    <x v="2"/>
    <n v="1145"/>
    <n v="151"/>
    <n v="182759"/>
    <n v="5.99"/>
    <n v="20109"/>
  </r>
  <r>
    <x v="55"/>
    <x v="0"/>
    <n v="564"/>
    <n v="244"/>
    <n v="279405"/>
    <n v="8.43"/>
    <n v="26024"/>
  </r>
  <r>
    <x v="55"/>
    <x v="1"/>
    <n v="668"/>
    <n v="124"/>
    <n v="257485"/>
    <n v="7.55"/>
    <n v="26730"/>
  </r>
  <r>
    <x v="55"/>
    <x v="2"/>
    <n v="761"/>
    <n v="241"/>
    <n v="154977"/>
    <n v="5.63"/>
    <n v="10563"/>
  </r>
  <r>
    <x v="56"/>
    <x v="0"/>
    <n v="593"/>
    <n v="108"/>
    <n v="216500"/>
    <n v="4.71"/>
    <n v="27575"/>
  </r>
  <r>
    <x v="56"/>
    <x v="1"/>
    <n v="1349"/>
    <n v="115"/>
    <n v="102102"/>
    <n v="5.28"/>
    <n v="14479"/>
  </r>
  <r>
    <x v="56"/>
    <x v="2"/>
    <n v="693"/>
    <n v="97"/>
    <n v="92025"/>
    <n v="5.95"/>
    <n v="15915"/>
  </r>
  <r>
    <x v="57"/>
    <x v="0"/>
    <n v="974"/>
    <n v="143"/>
    <n v="247965"/>
    <n v="9.98"/>
    <n v="12767"/>
  </r>
  <r>
    <x v="57"/>
    <x v="1"/>
    <n v="1155"/>
    <n v="122"/>
    <n v="387352"/>
    <n v="9.93"/>
    <n v="12170"/>
  </r>
  <r>
    <x v="57"/>
    <x v="2"/>
    <n v="1051"/>
    <n v="246"/>
    <n v="253985"/>
    <n v="9.08"/>
    <n v="7245"/>
  </r>
  <r>
    <x v="58"/>
    <x v="0"/>
    <n v="1457"/>
    <n v="183"/>
    <n v="129640"/>
    <n v="7.98"/>
    <n v="12985"/>
  </r>
  <r>
    <x v="58"/>
    <x v="1"/>
    <n v="670"/>
    <n v="242"/>
    <n v="281913"/>
    <n v="9.6199999999999992"/>
    <n v="16377"/>
  </r>
  <r>
    <x v="58"/>
    <x v="2"/>
    <n v="1111"/>
    <n v="159"/>
    <n v="360770"/>
    <n v="8.7100000000000009"/>
    <n v="11453"/>
  </r>
  <r>
    <x v="59"/>
    <x v="0"/>
    <n v="1197"/>
    <n v="246"/>
    <n v="127273"/>
    <n v="6.69"/>
    <n v="12323"/>
  </r>
  <r>
    <x v="59"/>
    <x v="1"/>
    <n v="754"/>
    <n v="150"/>
    <n v="189622"/>
    <n v="4.25"/>
    <n v="11911"/>
  </r>
  <r>
    <x v="59"/>
    <x v="2"/>
    <n v="1246"/>
    <n v="107"/>
    <n v="350949"/>
    <n v="4.9800000000000004"/>
    <n v="27809"/>
  </r>
  <r>
    <x v="60"/>
    <x v="0"/>
    <n v="780"/>
    <n v="213"/>
    <n v="121431"/>
    <n v="4.97"/>
    <n v="21464"/>
  </r>
  <r>
    <x v="60"/>
    <x v="1"/>
    <n v="1425"/>
    <n v="143"/>
    <n v="116742"/>
    <n v="3.71"/>
    <n v="27126"/>
  </r>
  <r>
    <x v="60"/>
    <x v="2"/>
    <n v="1490"/>
    <n v="103"/>
    <n v="81184"/>
    <n v="7.79"/>
    <n v="10681"/>
  </r>
  <r>
    <x v="61"/>
    <x v="0"/>
    <n v="949"/>
    <n v="282"/>
    <n v="87126"/>
    <n v="4.96"/>
    <n v="5413"/>
  </r>
  <r>
    <x v="61"/>
    <x v="1"/>
    <n v="640"/>
    <n v="141"/>
    <n v="267546"/>
    <n v="8.58"/>
    <n v="25058"/>
  </r>
  <r>
    <x v="61"/>
    <x v="2"/>
    <n v="616"/>
    <n v="93"/>
    <n v="133082"/>
    <n v="8.51"/>
    <n v="18303"/>
  </r>
  <r>
    <x v="62"/>
    <x v="0"/>
    <n v="1080"/>
    <n v="184"/>
    <n v="340557"/>
    <n v="5.41"/>
    <n v="5526"/>
  </r>
  <r>
    <x v="62"/>
    <x v="1"/>
    <n v="938"/>
    <n v="236"/>
    <n v="116472"/>
    <n v="8.7200000000000006"/>
    <n v="17460"/>
  </r>
  <r>
    <x v="62"/>
    <x v="2"/>
    <n v="1007"/>
    <n v="258"/>
    <n v="113412"/>
    <n v="7.71"/>
    <n v="14475"/>
  </r>
  <r>
    <x v="63"/>
    <x v="0"/>
    <n v="541"/>
    <n v="208"/>
    <n v="157547"/>
    <n v="8.35"/>
    <n v="20162"/>
  </r>
  <r>
    <x v="63"/>
    <x v="1"/>
    <n v="745"/>
    <n v="98"/>
    <n v="354816"/>
    <n v="4.03"/>
    <n v="17103"/>
  </r>
  <r>
    <x v="63"/>
    <x v="2"/>
    <n v="936"/>
    <n v="97"/>
    <n v="151799"/>
    <n v="9.3699999999999992"/>
    <n v="15461"/>
  </r>
  <r>
    <x v="64"/>
    <x v="0"/>
    <n v="1183"/>
    <n v="223"/>
    <n v="143811"/>
    <n v="6.07"/>
    <n v="22103"/>
  </r>
  <r>
    <x v="64"/>
    <x v="1"/>
    <n v="1413"/>
    <n v="245"/>
    <n v="296450"/>
    <n v="6.52"/>
    <n v="11625"/>
  </r>
  <r>
    <x v="64"/>
    <x v="2"/>
    <n v="791"/>
    <n v="273"/>
    <n v="144049"/>
    <n v="3.08"/>
    <n v="5281"/>
  </r>
  <r>
    <x v="65"/>
    <x v="0"/>
    <n v="1052"/>
    <n v="180"/>
    <n v="272534"/>
    <n v="5.34"/>
    <n v="13424"/>
  </r>
  <r>
    <x v="65"/>
    <x v="1"/>
    <n v="572"/>
    <n v="270"/>
    <n v="82265"/>
    <n v="3.65"/>
    <n v="13140"/>
  </r>
  <r>
    <x v="65"/>
    <x v="2"/>
    <n v="503"/>
    <n v="253"/>
    <n v="313562"/>
    <n v="4.18"/>
    <n v="19538"/>
  </r>
  <r>
    <x v="66"/>
    <x v="0"/>
    <n v="1017"/>
    <n v="197"/>
    <n v="89918"/>
    <n v="3.91"/>
    <n v="7881"/>
  </r>
  <r>
    <x v="66"/>
    <x v="1"/>
    <n v="860"/>
    <n v="244"/>
    <n v="348686"/>
    <n v="5.12"/>
    <n v="114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637"/>
    <n v="68"/>
    <x v="0"/>
    <n v="9.99"/>
    <n v="12562"/>
  </r>
  <r>
    <x v="1"/>
    <x v="1"/>
    <n v="974"/>
    <n v="143"/>
    <x v="1"/>
    <n v="9.98"/>
    <n v="12767"/>
  </r>
  <r>
    <x v="2"/>
    <x v="0"/>
    <n v="545"/>
    <n v="93"/>
    <x v="2"/>
    <n v="9.9600000000000009"/>
    <n v="22029"/>
  </r>
  <r>
    <x v="1"/>
    <x v="2"/>
    <n v="1155"/>
    <n v="122"/>
    <x v="3"/>
    <n v="9.93"/>
    <n v="12170"/>
  </r>
  <r>
    <x v="3"/>
    <x v="1"/>
    <n v="1402"/>
    <n v="68"/>
    <x v="4"/>
    <n v="9.92"/>
    <n v="23125"/>
  </r>
  <r>
    <x v="4"/>
    <x v="1"/>
    <n v="1449"/>
    <n v="96"/>
    <x v="5"/>
    <n v="9.92"/>
    <n v="15613"/>
  </r>
  <r>
    <x v="5"/>
    <x v="2"/>
    <n v="1463"/>
    <n v="73"/>
    <x v="6"/>
    <n v="9.91"/>
    <n v="26273"/>
  </r>
  <r>
    <x v="6"/>
    <x v="1"/>
    <n v="566"/>
    <n v="225"/>
    <x v="7"/>
    <n v="9.82"/>
    <n v="9592"/>
  </r>
  <r>
    <x v="7"/>
    <x v="0"/>
    <n v="1313"/>
    <n v="159"/>
    <x v="8"/>
    <n v="9.7100000000000009"/>
    <n v="6625"/>
  </r>
  <r>
    <x v="8"/>
    <x v="2"/>
    <n v="1232"/>
    <n v="254"/>
    <x v="9"/>
    <n v="9.7100000000000009"/>
    <n v="13740"/>
  </r>
  <r>
    <x v="9"/>
    <x v="0"/>
    <n v="844"/>
    <n v="144"/>
    <x v="10"/>
    <n v="9.65"/>
    <n v="22456"/>
  </r>
  <r>
    <x v="10"/>
    <x v="2"/>
    <n v="670"/>
    <n v="242"/>
    <x v="11"/>
    <n v="9.6199999999999992"/>
    <n v="16377"/>
  </r>
  <r>
    <x v="11"/>
    <x v="2"/>
    <n v="998"/>
    <n v="154"/>
    <x v="12"/>
    <n v="9.58"/>
    <n v="12115"/>
  </r>
  <r>
    <x v="12"/>
    <x v="0"/>
    <n v="1457"/>
    <n v="215"/>
    <x v="13"/>
    <n v="9.58"/>
    <n v="14178"/>
  </r>
  <r>
    <x v="13"/>
    <x v="0"/>
    <n v="1274"/>
    <n v="146"/>
    <x v="14"/>
    <n v="9.58"/>
    <n v="8698"/>
  </r>
  <r>
    <x v="14"/>
    <x v="2"/>
    <n v="975"/>
    <n v="162"/>
    <x v="15"/>
    <n v="9.58"/>
    <n v="26618"/>
  </r>
  <r>
    <x v="15"/>
    <x v="2"/>
    <n v="1373"/>
    <n v="82"/>
    <x v="16"/>
    <n v="9.52"/>
    <n v="20306"/>
  </r>
  <r>
    <x v="9"/>
    <x v="1"/>
    <n v="809"/>
    <n v="197"/>
    <x v="17"/>
    <n v="9.48"/>
    <n v="22619"/>
  </r>
  <r>
    <x v="2"/>
    <x v="1"/>
    <n v="1018"/>
    <n v="90"/>
    <x v="18"/>
    <n v="9.4"/>
    <n v="11966"/>
  </r>
  <r>
    <x v="16"/>
    <x v="0"/>
    <n v="1109"/>
    <n v="205"/>
    <x v="19"/>
    <n v="9.3800000000000008"/>
    <n v="8274"/>
  </r>
  <r>
    <x v="17"/>
    <x v="0"/>
    <n v="936"/>
    <n v="97"/>
    <x v="20"/>
    <n v="9.3699999999999992"/>
    <n v="15461"/>
  </r>
  <r>
    <x v="18"/>
    <x v="1"/>
    <n v="866"/>
    <n v="74"/>
    <x v="21"/>
    <n v="9.34"/>
    <n v="7797"/>
  </r>
  <r>
    <x v="19"/>
    <x v="1"/>
    <n v="1290"/>
    <n v="177"/>
    <x v="22"/>
    <n v="9.2200000000000006"/>
    <n v="26872"/>
  </r>
  <r>
    <x v="20"/>
    <x v="1"/>
    <n v="875"/>
    <n v="264"/>
    <x v="23"/>
    <n v="9.18"/>
    <n v="25703"/>
  </r>
  <r>
    <x v="21"/>
    <x v="0"/>
    <n v="622"/>
    <n v="163"/>
    <x v="24"/>
    <n v="9.18"/>
    <n v="13763"/>
  </r>
  <r>
    <x v="22"/>
    <x v="2"/>
    <n v="632"/>
    <n v="155"/>
    <x v="25"/>
    <n v="9.17"/>
    <n v="12840"/>
  </r>
  <r>
    <x v="23"/>
    <x v="2"/>
    <n v="841"/>
    <n v="295"/>
    <x v="26"/>
    <n v="9.15"/>
    <n v="5900"/>
  </r>
  <r>
    <x v="1"/>
    <x v="0"/>
    <n v="1051"/>
    <n v="246"/>
    <x v="27"/>
    <n v="9.08"/>
    <n v="7245"/>
  </r>
  <r>
    <x v="24"/>
    <x v="0"/>
    <n v="953"/>
    <n v="228"/>
    <x v="28"/>
    <n v="9.0500000000000007"/>
    <n v="13314"/>
  </r>
  <r>
    <x v="2"/>
    <x v="2"/>
    <n v="1461"/>
    <n v="64"/>
    <x v="29"/>
    <n v="9.02"/>
    <n v="26298"/>
  </r>
  <r>
    <x v="7"/>
    <x v="1"/>
    <n v="663"/>
    <n v="213"/>
    <x v="30"/>
    <n v="9"/>
    <n v="20438"/>
  </r>
  <r>
    <x v="25"/>
    <x v="0"/>
    <n v="935"/>
    <n v="85"/>
    <x v="31"/>
    <n v="8.89"/>
    <n v="13301"/>
  </r>
  <r>
    <x v="11"/>
    <x v="0"/>
    <n v="1421"/>
    <n v="246"/>
    <x v="32"/>
    <n v="8.8800000000000008"/>
    <n v="24358"/>
  </r>
  <r>
    <x v="7"/>
    <x v="2"/>
    <n v="954"/>
    <n v="271"/>
    <x v="33"/>
    <n v="8.83"/>
    <n v="8760"/>
  </r>
  <r>
    <x v="15"/>
    <x v="1"/>
    <n v="681"/>
    <n v="210"/>
    <x v="34"/>
    <n v="8.76"/>
    <n v="9567"/>
  </r>
  <r>
    <x v="26"/>
    <x v="2"/>
    <n v="1414"/>
    <n v="60"/>
    <x v="35"/>
    <n v="8.76"/>
    <n v="6868"/>
  </r>
  <r>
    <x v="5"/>
    <x v="0"/>
    <n v="1208"/>
    <n v="224"/>
    <x v="36"/>
    <n v="8.7200000000000006"/>
    <n v="10858"/>
  </r>
  <r>
    <x v="27"/>
    <x v="2"/>
    <n v="938"/>
    <n v="236"/>
    <x v="37"/>
    <n v="8.7200000000000006"/>
    <n v="17460"/>
  </r>
  <r>
    <x v="10"/>
    <x v="0"/>
    <n v="1111"/>
    <n v="159"/>
    <x v="38"/>
    <n v="8.7100000000000009"/>
    <n v="11453"/>
  </r>
  <r>
    <x v="28"/>
    <x v="2"/>
    <n v="544"/>
    <n v="97"/>
    <x v="39"/>
    <n v="8.66"/>
    <n v="12774"/>
  </r>
  <r>
    <x v="29"/>
    <x v="1"/>
    <n v="1066"/>
    <n v="151"/>
    <x v="40"/>
    <n v="8.6300000000000008"/>
    <n v="11235"/>
  </r>
  <r>
    <x v="30"/>
    <x v="2"/>
    <n v="640"/>
    <n v="141"/>
    <x v="41"/>
    <n v="8.58"/>
    <n v="25058"/>
  </r>
  <r>
    <x v="31"/>
    <x v="2"/>
    <n v="1471"/>
    <n v="100"/>
    <x v="42"/>
    <n v="8.5500000000000007"/>
    <n v="14412"/>
  </r>
  <r>
    <x v="32"/>
    <x v="2"/>
    <n v="1308"/>
    <n v="210"/>
    <x v="43"/>
    <n v="8.5299999999999994"/>
    <n v="25742"/>
  </r>
  <r>
    <x v="31"/>
    <x v="1"/>
    <n v="797"/>
    <n v="130"/>
    <x v="44"/>
    <n v="8.52"/>
    <n v="11684"/>
  </r>
  <r>
    <x v="30"/>
    <x v="0"/>
    <n v="616"/>
    <n v="93"/>
    <x v="45"/>
    <n v="8.51"/>
    <n v="18303"/>
  </r>
  <r>
    <x v="33"/>
    <x v="2"/>
    <n v="678"/>
    <n v="124"/>
    <x v="46"/>
    <n v="8.4499999999999993"/>
    <n v="17729"/>
  </r>
  <r>
    <x v="34"/>
    <x v="1"/>
    <n v="564"/>
    <n v="244"/>
    <x v="47"/>
    <n v="8.43"/>
    <n v="26024"/>
  </r>
  <r>
    <x v="32"/>
    <x v="0"/>
    <n v="981"/>
    <n v="69"/>
    <x v="48"/>
    <n v="8.42"/>
    <n v="10495"/>
  </r>
  <r>
    <x v="33"/>
    <x v="0"/>
    <n v="1328"/>
    <n v="103"/>
    <x v="49"/>
    <n v="8.4"/>
    <n v="10881"/>
  </r>
  <r>
    <x v="35"/>
    <x v="1"/>
    <n v="1391"/>
    <n v="187"/>
    <x v="50"/>
    <n v="8.3800000000000008"/>
    <n v="25038"/>
  </r>
  <r>
    <x v="17"/>
    <x v="1"/>
    <n v="541"/>
    <n v="208"/>
    <x v="51"/>
    <n v="8.35"/>
    <n v="20162"/>
  </r>
  <r>
    <x v="36"/>
    <x v="2"/>
    <n v="1414"/>
    <n v="131"/>
    <x v="52"/>
    <n v="8.3000000000000007"/>
    <n v="14477"/>
  </r>
  <r>
    <x v="37"/>
    <x v="1"/>
    <n v="1444"/>
    <n v="165"/>
    <x v="53"/>
    <n v="8.2200000000000006"/>
    <n v="25234"/>
  </r>
  <r>
    <x v="38"/>
    <x v="2"/>
    <n v="886"/>
    <n v="124"/>
    <x v="54"/>
    <n v="8.19"/>
    <n v="14215"/>
  </r>
  <r>
    <x v="4"/>
    <x v="2"/>
    <n v="752"/>
    <n v="170"/>
    <x v="55"/>
    <n v="8.17"/>
    <n v="23900"/>
  </r>
  <r>
    <x v="12"/>
    <x v="2"/>
    <n v="588"/>
    <n v="52"/>
    <x v="56"/>
    <n v="8.14"/>
    <n v="9383"/>
  </r>
  <r>
    <x v="19"/>
    <x v="0"/>
    <n v="769"/>
    <n v="295"/>
    <x v="57"/>
    <n v="8.06"/>
    <n v="23963"/>
  </r>
  <r>
    <x v="38"/>
    <x v="1"/>
    <n v="1190"/>
    <n v="242"/>
    <x v="58"/>
    <n v="8.06"/>
    <n v="21254"/>
  </r>
  <r>
    <x v="3"/>
    <x v="2"/>
    <n v="995"/>
    <n v="86"/>
    <x v="59"/>
    <n v="8.0500000000000007"/>
    <n v="22788"/>
  </r>
  <r>
    <x v="29"/>
    <x v="2"/>
    <n v="1270"/>
    <n v="162"/>
    <x v="60"/>
    <n v="8.0299999999999994"/>
    <n v="6120"/>
  </r>
  <r>
    <x v="31"/>
    <x v="0"/>
    <n v="1253"/>
    <n v="136"/>
    <x v="61"/>
    <n v="7.99"/>
    <n v="15924"/>
  </r>
  <r>
    <x v="10"/>
    <x v="1"/>
    <n v="1457"/>
    <n v="183"/>
    <x v="62"/>
    <n v="7.98"/>
    <n v="12985"/>
  </r>
  <r>
    <x v="39"/>
    <x v="0"/>
    <n v="990"/>
    <n v="286"/>
    <x v="63"/>
    <n v="7.97"/>
    <n v="14496"/>
  </r>
  <r>
    <x v="40"/>
    <x v="1"/>
    <n v="1073"/>
    <n v="141"/>
    <x v="64"/>
    <n v="7.95"/>
    <n v="14051"/>
  </r>
  <r>
    <x v="41"/>
    <x v="1"/>
    <n v="631"/>
    <n v="86"/>
    <x v="65"/>
    <n v="7.89"/>
    <n v="11911"/>
  </r>
  <r>
    <x v="29"/>
    <x v="0"/>
    <n v="536"/>
    <n v="198"/>
    <x v="66"/>
    <n v="7.85"/>
    <n v="20572"/>
  </r>
  <r>
    <x v="8"/>
    <x v="1"/>
    <n v="591"/>
    <n v="155"/>
    <x v="67"/>
    <n v="7.85"/>
    <n v="19054"/>
  </r>
  <r>
    <x v="42"/>
    <x v="0"/>
    <n v="854"/>
    <n v="129"/>
    <x v="68"/>
    <n v="7.83"/>
    <n v="16875"/>
  </r>
  <r>
    <x v="24"/>
    <x v="2"/>
    <n v="1340"/>
    <n v="57"/>
    <x v="69"/>
    <n v="7.79"/>
    <n v="11972"/>
  </r>
  <r>
    <x v="43"/>
    <x v="0"/>
    <n v="1490"/>
    <n v="103"/>
    <x v="70"/>
    <n v="7.79"/>
    <n v="10681"/>
  </r>
  <r>
    <x v="44"/>
    <x v="2"/>
    <n v="747"/>
    <n v="261"/>
    <x v="71"/>
    <n v="7.73"/>
    <n v="25259"/>
  </r>
  <r>
    <x v="3"/>
    <x v="0"/>
    <n v="1472"/>
    <n v="296"/>
    <x v="72"/>
    <n v="7.72"/>
    <n v="7810"/>
  </r>
  <r>
    <x v="37"/>
    <x v="2"/>
    <n v="1234"/>
    <n v="228"/>
    <x v="73"/>
    <n v="7.71"/>
    <n v="6772"/>
  </r>
  <r>
    <x v="27"/>
    <x v="0"/>
    <n v="1007"/>
    <n v="258"/>
    <x v="74"/>
    <n v="7.71"/>
    <n v="14475"/>
  </r>
  <r>
    <x v="45"/>
    <x v="0"/>
    <n v="1096"/>
    <n v="65"/>
    <x v="75"/>
    <n v="7.66"/>
    <n v="24548"/>
  </r>
  <r>
    <x v="46"/>
    <x v="2"/>
    <n v="1389"/>
    <n v="205"/>
    <x v="76"/>
    <n v="7.62"/>
    <n v="20595"/>
  </r>
  <r>
    <x v="35"/>
    <x v="2"/>
    <n v="655"/>
    <n v="123"/>
    <x v="77"/>
    <n v="7.56"/>
    <n v="9092"/>
  </r>
  <r>
    <x v="34"/>
    <x v="2"/>
    <n v="668"/>
    <n v="124"/>
    <x v="78"/>
    <n v="7.55"/>
    <n v="26730"/>
  </r>
  <r>
    <x v="47"/>
    <x v="1"/>
    <n v="1154"/>
    <n v="132"/>
    <x v="79"/>
    <n v="7.54"/>
    <n v="26624"/>
  </r>
  <r>
    <x v="45"/>
    <x v="2"/>
    <n v="1098"/>
    <n v="142"/>
    <x v="80"/>
    <n v="7.51"/>
    <n v="16385"/>
  </r>
  <r>
    <x v="16"/>
    <x v="2"/>
    <n v="1456"/>
    <n v="265"/>
    <x v="81"/>
    <n v="7.49"/>
    <n v="10311"/>
  </r>
  <r>
    <x v="46"/>
    <x v="0"/>
    <n v="826"/>
    <n v="142"/>
    <x v="82"/>
    <n v="7.44"/>
    <n v="12031"/>
  </r>
  <r>
    <x v="44"/>
    <x v="1"/>
    <n v="585"/>
    <n v="232"/>
    <x v="83"/>
    <n v="7.42"/>
    <n v="10343"/>
  </r>
  <r>
    <x v="37"/>
    <x v="0"/>
    <n v="665"/>
    <n v="187"/>
    <x v="84"/>
    <n v="7.39"/>
    <n v="22428"/>
  </r>
  <r>
    <x v="12"/>
    <x v="1"/>
    <n v="1161"/>
    <n v="269"/>
    <x v="85"/>
    <n v="7.34"/>
    <n v="18576"/>
  </r>
  <r>
    <x v="48"/>
    <x v="2"/>
    <n v="1222"/>
    <n v="208"/>
    <x v="86"/>
    <n v="7.34"/>
    <n v="21771"/>
  </r>
  <r>
    <x v="49"/>
    <x v="1"/>
    <n v="795"/>
    <n v="60"/>
    <x v="87"/>
    <n v="7.31"/>
    <n v="6824"/>
  </r>
  <r>
    <x v="35"/>
    <x v="0"/>
    <n v="1148"/>
    <n v="90"/>
    <x v="88"/>
    <n v="7.24"/>
    <n v="17662"/>
  </r>
  <r>
    <x v="50"/>
    <x v="0"/>
    <n v="1472"/>
    <n v="281"/>
    <x v="89"/>
    <n v="7.23"/>
    <n v="27393"/>
  </r>
  <r>
    <x v="47"/>
    <x v="0"/>
    <n v="1456"/>
    <n v="290"/>
    <x v="90"/>
    <n v="7.17"/>
    <n v="13051"/>
  </r>
  <r>
    <x v="51"/>
    <x v="2"/>
    <n v="681"/>
    <n v="218"/>
    <x v="91"/>
    <n v="7.16"/>
    <n v="22234"/>
  </r>
  <r>
    <x v="9"/>
    <x v="2"/>
    <n v="1371"/>
    <n v="250"/>
    <x v="92"/>
    <n v="7.11"/>
    <n v="12399"/>
  </r>
  <r>
    <x v="51"/>
    <x v="0"/>
    <n v="646"/>
    <n v="290"/>
    <x v="93"/>
    <n v="7.04"/>
    <n v="6532"/>
  </r>
  <r>
    <x v="50"/>
    <x v="2"/>
    <n v="1472"/>
    <n v="137"/>
    <x v="94"/>
    <n v="6.96"/>
    <n v="23736"/>
  </r>
  <r>
    <x v="0"/>
    <x v="2"/>
    <n v="1419"/>
    <n v="293"/>
    <x v="95"/>
    <n v="6.93"/>
    <n v="11826"/>
  </r>
  <r>
    <x v="48"/>
    <x v="0"/>
    <n v="1071"/>
    <n v="131"/>
    <x v="96"/>
    <n v="6.87"/>
    <n v="22191"/>
  </r>
  <r>
    <x v="52"/>
    <x v="0"/>
    <n v="978"/>
    <n v="279"/>
    <x v="97"/>
    <n v="6.82"/>
    <n v="18654"/>
  </r>
  <r>
    <x v="41"/>
    <x v="0"/>
    <n v="950"/>
    <n v="185"/>
    <x v="98"/>
    <n v="6.77"/>
    <n v="25542"/>
  </r>
  <r>
    <x v="53"/>
    <x v="1"/>
    <n v="1197"/>
    <n v="246"/>
    <x v="99"/>
    <n v="6.69"/>
    <n v="12323"/>
  </r>
  <r>
    <x v="39"/>
    <x v="1"/>
    <n v="895"/>
    <n v="87"/>
    <x v="100"/>
    <n v="6.68"/>
    <n v="23329"/>
  </r>
  <r>
    <x v="8"/>
    <x v="0"/>
    <n v="1425"/>
    <n v="58"/>
    <x v="101"/>
    <n v="6.67"/>
    <n v="18442"/>
  </r>
  <r>
    <x v="40"/>
    <x v="2"/>
    <n v="1430"/>
    <n v="74"/>
    <x v="102"/>
    <n v="6.66"/>
    <n v="27782"/>
  </r>
  <r>
    <x v="54"/>
    <x v="2"/>
    <n v="791"/>
    <n v="214"/>
    <x v="103"/>
    <n v="6.62"/>
    <n v="25347"/>
  </r>
  <r>
    <x v="28"/>
    <x v="1"/>
    <n v="837"/>
    <n v="261"/>
    <x v="104"/>
    <n v="6.54"/>
    <n v="26073"/>
  </r>
  <r>
    <x v="55"/>
    <x v="2"/>
    <n v="1413"/>
    <n v="245"/>
    <x v="105"/>
    <n v="6.52"/>
    <n v="11625"/>
  </r>
  <r>
    <x v="20"/>
    <x v="2"/>
    <n v="599"/>
    <n v="194"/>
    <x v="106"/>
    <n v="6.44"/>
    <n v="15108"/>
  </r>
  <r>
    <x v="21"/>
    <x v="1"/>
    <n v="1146"/>
    <n v="227"/>
    <x v="107"/>
    <n v="6.41"/>
    <n v="5495"/>
  </r>
  <r>
    <x v="41"/>
    <x v="2"/>
    <n v="1159"/>
    <n v="154"/>
    <x v="108"/>
    <n v="6.39"/>
    <n v="21900"/>
  </r>
  <r>
    <x v="54"/>
    <x v="0"/>
    <n v="793"/>
    <n v="111"/>
    <x v="109"/>
    <n v="6.36"/>
    <n v="8910"/>
  </r>
  <r>
    <x v="32"/>
    <x v="1"/>
    <n v="616"/>
    <n v="257"/>
    <x v="110"/>
    <n v="6.31"/>
    <n v="12390"/>
  </r>
  <r>
    <x v="26"/>
    <x v="0"/>
    <n v="685"/>
    <n v="165"/>
    <x v="111"/>
    <n v="6.26"/>
    <n v="6027"/>
  </r>
  <r>
    <x v="33"/>
    <x v="1"/>
    <n v="764"/>
    <n v="205"/>
    <x v="112"/>
    <n v="6.23"/>
    <n v="12181"/>
  </r>
  <r>
    <x v="56"/>
    <x v="1"/>
    <n v="765"/>
    <n v="67"/>
    <x v="113"/>
    <n v="6.18"/>
    <n v="8182"/>
  </r>
  <r>
    <x v="48"/>
    <x v="1"/>
    <n v="1417"/>
    <n v="80"/>
    <x v="114"/>
    <n v="6.13"/>
    <n v="10104"/>
  </r>
  <r>
    <x v="51"/>
    <x v="1"/>
    <n v="819"/>
    <n v="95"/>
    <x v="115"/>
    <n v="6.12"/>
    <n v="14975"/>
  </r>
  <r>
    <x v="55"/>
    <x v="1"/>
    <n v="1183"/>
    <n v="223"/>
    <x v="116"/>
    <n v="6.07"/>
    <n v="22103"/>
  </r>
  <r>
    <x v="24"/>
    <x v="1"/>
    <n v="613"/>
    <n v="170"/>
    <x v="117"/>
    <n v="6.06"/>
    <n v="9247"/>
  </r>
  <r>
    <x v="57"/>
    <x v="0"/>
    <n v="1240"/>
    <n v="231"/>
    <x v="118"/>
    <n v="6.05"/>
    <n v="18267"/>
  </r>
  <r>
    <x v="45"/>
    <x v="1"/>
    <n v="721"/>
    <n v="206"/>
    <x v="119"/>
    <n v="6.05"/>
    <n v="14217"/>
  </r>
  <r>
    <x v="21"/>
    <x v="2"/>
    <n v="883"/>
    <n v="207"/>
    <x v="120"/>
    <n v="6.04"/>
    <n v="15655"/>
  </r>
  <r>
    <x v="42"/>
    <x v="1"/>
    <n v="912"/>
    <n v="275"/>
    <x v="121"/>
    <n v="6.03"/>
    <n v="9195"/>
  </r>
  <r>
    <x v="25"/>
    <x v="2"/>
    <n v="1360"/>
    <n v="227"/>
    <x v="122"/>
    <n v="6.03"/>
    <n v="5960"/>
  </r>
  <r>
    <x v="23"/>
    <x v="0"/>
    <n v="1105"/>
    <n v="261"/>
    <x v="123"/>
    <n v="6.03"/>
    <n v="11181"/>
  </r>
  <r>
    <x v="56"/>
    <x v="0"/>
    <n v="1145"/>
    <n v="151"/>
    <x v="124"/>
    <n v="5.99"/>
    <n v="20109"/>
  </r>
  <r>
    <x v="16"/>
    <x v="1"/>
    <n v="1060"/>
    <n v="83"/>
    <x v="125"/>
    <n v="5.98"/>
    <n v="5624"/>
  </r>
  <r>
    <x v="58"/>
    <x v="0"/>
    <n v="693"/>
    <n v="97"/>
    <x v="126"/>
    <n v="5.95"/>
    <n v="15915"/>
  </r>
  <r>
    <x v="47"/>
    <x v="2"/>
    <n v="537"/>
    <n v="275"/>
    <x v="127"/>
    <n v="5.87"/>
    <n v="26644"/>
  </r>
  <r>
    <x v="57"/>
    <x v="1"/>
    <n v="1002"/>
    <n v="93"/>
    <x v="128"/>
    <n v="5.84"/>
    <n v="6031"/>
  </r>
  <r>
    <x v="59"/>
    <x v="2"/>
    <n v="611"/>
    <n v="197"/>
    <x v="129"/>
    <n v="5.82"/>
    <n v="13644"/>
  </r>
  <r>
    <x v="18"/>
    <x v="2"/>
    <n v="547"/>
    <n v="183"/>
    <x v="130"/>
    <n v="5.65"/>
    <n v="15595"/>
  </r>
  <r>
    <x v="34"/>
    <x v="0"/>
    <n v="761"/>
    <n v="241"/>
    <x v="131"/>
    <n v="5.63"/>
    <n v="10563"/>
  </r>
  <r>
    <x v="19"/>
    <x v="2"/>
    <n v="1437"/>
    <n v="239"/>
    <x v="132"/>
    <n v="5.57"/>
    <n v="10253"/>
  </r>
  <r>
    <x v="39"/>
    <x v="2"/>
    <n v="1027"/>
    <n v="156"/>
    <x v="133"/>
    <n v="5.51"/>
    <n v="7299"/>
  </r>
  <r>
    <x v="60"/>
    <x v="1"/>
    <n v="786"/>
    <n v="72"/>
    <x v="134"/>
    <n v="5.43"/>
    <n v="19328"/>
  </r>
  <r>
    <x v="61"/>
    <x v="2"/>
    <n v="746"/>
    <n v="282"/>
    <x v="135"/>
    <n v="5.42"/>
    <n v="25537"/>
  </r>
  <r>
    <x v="57"/>
    <x v="2"/>
    <n v="571"/>
    <n v="189"/>
    <x v="136"/>
    <n v="5.41"/>
    <n v="27829"/>
  </r>
  <r>
    <x v="27"/>
    <x v="1"/>
    <n v="1080"/>
    <n v="184"/>
    <x v="137"/>
    <n v="5.41"/>
    <n v="5526"/>
  </r>
  <r>
    <x v="62"/>
    <x v="1"/>
    <n v="1052"/>
    <n v="180"/>
    <x v="138"/>
    <n v="5.34"/>
    <n v="13424"/>
  </r>
  <r>
    <x v="25"/>
    <x v="1"/>
    <n v="661"/>
    <n v="94"/>
    <x v="139"/>
    <n v="5.31"/>
    <n v="23486"/>
  </r>
  <r>
    <x v="4"/>
    <x v="0"/>
    <n v="937"/>
    <n v="179"/>
    <x v="140"/>
    <n v="5.3"/>
    <n v="5836"/>
  </r>
  <r>
    <x v="56"/>
    <x v="2"/>
    <n v="540"/>
    <n v="215"/>
    <x v="141"/>
    <n v="5.3"/>
    <n v="10615"/>
  </r>
  <r>
    <x v="36"/>
    <x v="1"/>
    <n v="881"/>
    <n v="291"/>
    <x v="142"/>
    <n v="5.29"/>
    <n v="12391"/>
  </r>
  <r>
    <x v="58"/>
    <x v="2"/>
    <n v="1349"/>
    <n v="115"/>
    <x v="143"/>
    <n v="5.28"/>
    <n v="14479"/>
  </r>
  <r>
    <x v="40"/>
    <x v="0"/>
    <n v="1358"/>
    <n v="77"/>
    <x v="144"/>
    <n v="5.25"/>
    <n v="7859"/>
  </r>
  <r>
    <x v="63"/>
    <x v="1"/>
    <n v="917"/>
    <n v="187"/>
    <x v="145"/>
    <n v="5.22"/>
    <n v="13013"/>
  </r>
  <r>
    <x v="63"/>
    <x v="2"/>
    <n v="810"/>
    <n v="232"/>
    <x v="146"/>
    <n v="5.17"/>
    <n v="12937"/>
  </r>
  <r>
    <x v="63"/>
    <x v="0"/>
    <n v="1183"/>
    <n v="248"/>
    <x v="147"/>
    <n v="5.17"/>
    <n v="14534"/>
  </r>
  <r>
    <x v="44"/>
    <x v="0"/>
    <n v="1113"/>
    <n v="224"/>
    <x v="148"/>
    <n v="5.13"/>
    <n v="24827"/>
  </r>
  <r>
    <x v="64"/>
    <x v="2"/>
    <n v="860"/>
    <n v="244"/>
    <x v="149"/>
    <n v="5.12"/>
    <n v="11418"/>
  </r>
  <r>
    <x v="14"/>
    <x v="0"/>
    <n v="1398"/>
    <n v="97"/>
    <x v="150"/>
    <n v="5.09"/>
    <n v="7975"/>
  </r>
  <r>
    <x v="46"/>
    <x v="1"/>
    <n v="1242"/>
    <n v="201"/>
    <x v="151"/>
    <n v="5.07"/>
    <n v="15773"/>
  </r>
  <r>
    <x v="20"/>
    <x v="0"/>
    <n v="630"/>
    <n v="248"/>
    <x v="152"/>
    <n v="5.0199999999999996"/>
    <n v="18867"/>
  </r>
  <r>
    <x v="53"/>
    <x v="0"/>
    <n v="1246"/>
    <n v="107"/>
    <x v="153"/>
    <n v="4.9800000000000004"/>
    <n v="27809"/>
  </r>
  <r>
    <x v="43"/>
    <x v="1"/>
    <n v="780"/>
    <n v="213"/>
    <x v="154"/>
    <n v="4.97"/>
    <n v="21464"/>
  </r>
  <r>
    <x v="30"/>
    <x v="1"/>
    <n v="949"/>
    <n v="282"/>
    <x v="155"/>
    <n v="4.96"/>
    <n v="5413"/>
  </r>
  <r>
    <x v="49"/>
    <x v="0"/>
    <n v="534"/>
    <n v="112"/>
    <x v="156"/>
    <n v="4.8899999999999997"/>
    <n v="25478"/>
  </r>
  <r>
    <x v="0"/>
    <x v="1"/>
    <n v="618"/>
    <n v="264"/>
    <x v="157"/>
    <n v="4.8600000000000003"/>
    <n v="15128"/>
  </r>
  <r>
    <x v="65"/>
    <x v="2"/>
    <n v="1490"/>
    <n v="103"/>
    <x v="158"/>
    <n v="4.8"/>
    <n v="19949"/>
  </r>
  <r>
    <x v="65"/>
    <x v="1"/>
    <n v="664"/>
    <n v="251"/>
    <x v="159"/>
    <n v="4.79"/>
    <n v="10563"/>
  </r>
  <r>
    <x v="58"/>
    <x v="1"/>
    <n v="593"/>
    <n v="108"/>
    <x v="160"/>
    <n v="4.71"/>
    <n v="27575"/>
  </r>
  <r>
    <x v="36"/>
    <x v="0"/>
    <n v="1472"/>
    <n v="170"/>
    <x v="161"/>
    <n v="4.66"/>
    <n v="25040"/>
  </r>
  <r>
    <x v="54"/>
    <x v="1"/>
    <n v="946"/>
    <n v="270"/>
    <x v="162"/>
    <n v="4.53"/>
    <n v="5924"/>
  </r>
  <r>
    <x v="22"/>
    <x v="1"/>
    <n v="1350"/>
    <n v="233"/>
    <x v="163"/>
    <n v="4.53"/>
    <n v="17574"/>
  </r>
  <r>
    <x v="60"/>
    <x v="2"/>
    <n v="845"/>
    <n v="250"/>
    <x v="164"/>
    <n v="4.5199999999999996"/>
    <n v="21107"/>
  </r>
  <r>
    <x v="61"/>
    <x v="1"/>
    <n v="1435"/>
    <n v="261"/>
    <x v="165"/>
    <n v="4.5199999999999996"/>
    <n v="25130"/>
  </r>
  <r>
    <x v="38"/>
    <x v="0"/>
    <n v="1237"/>
    <n v="155"/>
    <x v="166"/>
    <n v="4.4800000000000004"/>
    <n v="16921"/>
  </r>
  <r>
    <x v="66"/>
    <x v="1"/>
    <n v="1100"/>
    <n v="117"/>
    <x v="167"/>
    <n v="4.4000000000000004"/>
    <n v="11908"/>
  </r>
  <r>
    <x v="60"/>
    <x v="0"/>
    <n v="1218"/>
    <n v="101"/>
    <x v="168"/>
    <n v="4.33"/>
    <n v="12277"/>
  </r>
  <r>
    <x v="53"/>
    <x v="2"/>
    <n v="754"/>
    <n v="150"/>
    <x v="169"/>
    <n v="4.25"/>
    <n v="11911"/>
  </r>
  <r>
    <x v="18"/>
    <x v="0"/>
    <n v="1241"/>
    <n v="116"/>
    <x v="170"/>
    <n v="4.2"/>
    <n v="24617"/>
  </r>
  <r>
    <x v="62"/>
    <x v="0"/>
    <n v="503"/>
    <n v="253"/>
    <x v="171"/>
    <n v="4.18"/>
    <n v="19538"/>
  </r>
  <r>
    <x v="52"/>
    <x v="2"/>
    <n v="886"/>
    <n v="250"/>
    <x v="172"/>
    <n v="4.12"/>
    <n v="13883"/>
  </r>
  <r>
    <x v="13"/>
    <x v="2"/>
    <n v="576"/>
    <n v="80"/>
    <x v="173"/>
    <n v="4.1100000000000003"/>
    <n v="20474"/>
  </r>
  <r>
    <x v="61"/>
    <x v="0"/>
    <n v="759"/>
    <n v="216"/>
    <x v="174"/>
    <n v="4.08"/>
    <n v="24943"/>
  </r>
  <r>
    <x v="65"/>
    <x v="0"/>
    <n v="601"/>
    <n v="64"/>
    <x v="175"/>
    <n v="4.07"/>
    <n v="14273"/>
  </r>
  <r>
    <x v="5"/>
    <x v="1"/>
    <n v="1437"/>
    <n v="235"/>
    <x v="176"/>
    <n v="4.0599999999999996"/>
    <n v="14563"/>
  </r>
  <r>
    <x v="17"/>
    <x v="2"/>
    <n v="745"/>
    <n v="98"/>
    <x v="177"/>
    <n v="4.03"/>
    <n v="17103"/>
  </r>
  <r>
    <x v="64"/>
    <x v="1"/>
    <n v="1017"/>
    <n v="197"/>
    <x v="178"/>
    <n v="3.91"/>
    <n v="7881"/>
  </r>
  <r>
    <x v="28"/>
    <x v="0"/>
    <n v="624"/>
    <n v="247"/>
    <x v="179"/>
    <n v="3.89"/>
    <n v="19000"/>
  </r>
  <r>
    <x v="59"/>
    <x v="1"/>
    <n v="973"/>
    <n v="104"/>
    <x v="180"/>
    <n v="3.87"/>
    <n v="9847"/>
  </r>
  <r>
    <x v="52"/>
    <x v="1"/>
    <n v="645"/>
    <n v="267"/>
    <x v="181"/>
    <n v="3.71"/>
    <n v="24858"/>
  </r>
  <r>
    <x v="43"/>
    <x v="2"/>
    <n v="1425"/>
    <n v="143"/>
    <x v="182"/>
    <n v="3.71"/>
    <n v="27126"/>
  </r>
  <r>
    <x v="6"/>
    <x v="2"/>
    <n v="1149"/>
    <n v="280"/>
    <x v="183"/>
    <n v="3.7"/>
    <n v="5291"/>
  </r>
  <r>
    <x v="62"/>
    <x v="2"/>
    <n v="572"/>
    <n v="270"/>
    <x v="184"/>
    <n v="3.65"/>
    <n v="13140"/>
  </r>
  <r>
    <x v="66"/>
    <x v="0"/>
    <n v="864"/>
    <n v="50"/>
    <x v="185"/>
    <n v="3.57"/>
    <n v="26333"/>
  </r>
  <r>
    <x v="59"/>
    <x v="0"/>
    <n v="983"/>
    <n v="134"/>
    <x v="186"/>
    <n v="3.55"/>
    <n v="11421"/>
  </r>
  <r>
    <x v="50"/>
    <x v="1"/>
    <n v="772"/>
    <n v="82"/>
    <x v="187"/>
    <n v="3.52"/>
    <n v="27753"/>
  </r>
  <r>
    <x v="26"/>
    <x v="1"/>
    <n v="532"/>
    <n v="65"/>
    <x v="188"/>
    <n v="3.5"/>
    <n v="14749"/>
  </r>
  <r>
    <x v="66"/>
    <x v="2"/>
    <n v="751"/>
    <n v="170"/>
    <x v="189"/>
    <n v="3.49"/>
    <n v="11005"/>
  </r>
  <r>
    <x v="11"/>
    <x v="1"/>
    <n v="1416"/>
    <n v="284"/>
    <x v="190"/>
    <n v="3.45"/>
    <n v="11335"/>
  </r>
  <r>
    <x v="13"/>
    <x v="1"/>
    <n v="693"/>
    <n v="129"/>
    <x v="191"/>
    <n v="3.41"/>
    <n v="7140"/>
  </r>
  <r>
    <x v="42"/>
    <x v="2"/>
    <n v="1430"/>
    <n v="162"/>
    <x v="192"/>
    <n v="3.4"/>
    <n v="18071"/>
  </r>
  <r>
    <x v="14"/>
    <x v="1"/>
    <n v="818"/>
    <n v="253"/>
    <x v="193"/>
    <n v="3.39"/>
    <n v="10402"/>
  </r>
  <r>
    <x v="15"/>
    <x v="0"/>
    <n v="685"/>
    <n v="285"/>
    <x v="194"/>
    <n v="3.36"/>
    <n v="21134"/>
  </r>
  <r>
    <x v="6"/>
    <x v="0"/>
    <n v="819"/>
    <n v="101"/>
    <x v="195"/>
    <n v="3.35"/>
    <n v="22244"/>
  </r>
  <r>
    <x v="23"/>
    <x v="1"/>
    <n v="601"/>
    <n v="159"/>
    <x v="196"/>
    <n v="3.33"/>
    <n v="25267"/>
  </r>
  <r>
    <x v="22"/>
    <x v="0"/>
    <n v="1182"/>
    <n v="83"/>
    <x v="197"/>
    <n v="3.27"/>
    <n v="21079"/>
  </r>
  <r>
    <x v="49"/>
    <x v="2"/>
    <n v="681"/>
    <n v="158"/>
    <x v="198"/>
    <n v="3.13"/>
    <n v="24112"/>
  </r>
  <r>
    <x v="55"/>
    <x v="0"/>
    <n v="791"/>
    <n v="273"/>
    <x v="199"/>
    <n v="3.08"/>
    <n v="52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2E89A-1E48-47F1-95AC-EE8E20A85B3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0" firstDataRow="1" firstDataCol="1"/>
  <pivotFields count="10">
    <pivotField showAll="0">
      <items count="68">
        <item x="3"/>
        <item x="2"/>
        <item x="36"/>
        <item x="9"/>
        <item x="60"/>
        <item x="31"/>
        <item x="32"/>
        <item x="18"/>
        <item x="59"/>
        <item x="4"/>
        <item x="16"/>
        <item x="57"/>
        <item x="47"/>
        <item x="45"/>
        <item x="42"/>
        <item x="15"/>
        <item x="19"/>
        <item x="11"/>
        <item x="33"/>
        <item x="12"/>
        <item x="38"/>
        <item x="61"/>
        <item x="5"/>
        <item x="35"/>
        <item x="54"/>
        <item x="7"/>
        <item x="39"/>
        <item x="20"/>
        <item x="22"/>
        <item x="25"/>
        <item x="65"/>
        <item x="24"/>
        <item x="26"/>
        <item x="23"/>
        <item x="6"/>
        <item x="49"/>
        <item x="29"/>
        <item x="51"/>
        <item x="52"/>
        <item x="37"/>
        <item x="41"/>
        <item x="13"/>
        <item x="14"/>
        <item x="8"/>
        <item x="48"/>
        <item x="50"/>
        <item x="44"/>
        <item x="66"/>
        <item x="21"/>
        <item x="28"/>
        <item x="40"/>
        <item x="46"/>
        <item x="0"/>
        <item x="63"/>
        <item x="56"/>
        <item x="34"/>
        <item x="58"/>
        <item x="1"/>
        <item x="10"/>
        <item x="53"/>
        <item x="43"/>
        <item x="30"/>
        <item x="27"/>
        <item x="17"/>
        <item x="55"/>
        <item x="62"/>
        <item x="64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ew_Followers" fld="2" baseField="0" baseItem="0"/>
    <dataField name="Sum of Unfollows" fld="3" baseField="0" baseItem="0"/>
    <dataField name="Sum of Total_Followers" fld="4" baseField="0" baseItem="0"/>
    <dataField name="Sum of Engagement_Rate" fld="5" baseField="0" baseItem="0"/>
    <dataField name="Sum of Ad_Spend" fld="6" baseField="0" baseItem="0"/>
  </dataFields>
  <formats count="7">
    <format dxfId="6">
      <pivotArea dataOnly="0" fieldPosition="0">
        <references count="1">
          <reference field="1" count="1">
            <x v="1"/>
          </reference>
        </references>
      </pivotArea>
    </format>
    <format dxfId="5">
      <pivotArea dataOnly="0" labelOnly="1" fieldPosition="0">
        <references count="1">
          <reference field="1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4"/>
          </reference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F0B2F-9A7A-4608-A400-FAB1ED28E0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0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numFmtId="165" showAll="0"/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dataField="1" showAll="0">
      <items count="301">
        <item x="71"/>
        <item x="278"/>
        <item x="67"/>
        <item x="90"/>
        <item x="245"/>
        <item x="6"/>
        <item x="7"/>
        <item x="0"/>
        <item x="94"/>
        <item x="105"/>
        <item x="9"/>
        <item x="51"/>
        <item x="182"/>
        <item x="89"/>
        <item x="185"/>
        <item x="77"/>
        <item x="160"/>
        <item x="135"/>
        <item x="213"/>
        <item x="276"/>
        <item x="55"/>
        <item x="101"/>
        <item x="270"/>
        <item x="289"/>
        <item x="45"/>
        <item x="47"/>
        <item x="95"/>
        <item x="4"/>
        <item x="156"/>
        <item x="127"/>
        <item x="49"/>
        <item x="201"/>
        <item x="233"/>
        <item x="161"/>
        <item x="109"/>
        <item x="158"/>
        <item x="92"/>
        <item x="265"/>
        <item x="294"/>
        <item x="216"/>
        <item x="170"/>
        <item x="220"/>
        <item x="192"/>
        <item x="248"/>
        <item x="291"/>
        <item x="29"/>
        <item x="171"/>
        <item x="164"/>
        <item x="39"/>
        <item x="283"/>
        <item x="138"/>
        <item x="242"/>
        <item x="247"/>
        <item x="21"/>
        <item x="23"/>
        <item x="299"/>
        <item x="70"/>
        <item x="1"/>
        <item x="19"/>
        <item x="139"/>
        <item x="3"/>
        <item x="83"/>
        <item x="249"/>
        <item x="166"/>
        <item x="230"/>
        <item x="295"/>
        <item x="133"/>
        <item x="91"/>
        <item x="149"/>
        <item x="286"/>
        <item x="76"/>
        <item x="66"/>
        <item x="87"/>
        <item x="202"/>
        <item x="26"/>
        <item x="56"/>
        <item x="10"/>
        <item x="212"/>
        <item x="18"/>
        <item x="102"/>
        <item x="258"/>
        <item x="32"/>
        <item x="189"/>
        <item x="17"/>
        <item x="169"/>
        <item x="88"/>
        <item x="176"/>
        <item x="136"/>
        <item x="238"/>
        <item x="198"/>
        <item x="124"/>
        <item x="110"/>
        <item x="157"/>
        <item x="167"/>
        <item x="285"/>
        <item x="162"/>
        <item x="253"/>
        <item x="82"/>
        <item x="108"/>
        <item x="200"/>
        <item x="78"/>
        <item x="241"/>
        <item x="99"/>
        <item x="85"/>
        <item x="44"/>
        <item x="111"/>
        <item x="235"/>
        <item x="103"/>
        <item x="72"/>
        <item x="93"/>
        <item x="13"/>
        <item x="226"/>
        <item x="151"/>
        <item x="115"/>
        <item x="62"/>
        <item x="79"/>
        <item x="14"/>
        <item x="214"/>
        <item x="134"/>
        <item x="186"/>
        <item x="184"/>
        <item x="33"/>
        <item x="219"/>
        <item x="11"/>
        <item x="75"/>
        <item x="232"/>
        <item x="146"/>
        <item x="57"/>
        <item x="236"/>
        <item x="217"/>
        <item x="178"/>
        <item x="46"/>
        <item x="34"/>
        <item x="194"/>
        <item x="224"/>
        <item x="98"/>
        <item x="144"/>
        <item x="145"/>
        <item x="154"/>
        <item x="40"/>
        <item x="292"/>
        <item x="215"/>
        <item x="16"/>
        <item x="96"/>
        <item x="234"/>
        <item x="74"/>
        <item x="107"/>
        <item x="22"/>
        <item x="130"/>
        <item x="35"/>
        <item x="172"/>
        <item x="31"/>
        <item x="259"/>
        <item x="48"/>
        <item x="81"/>
        <item x="141"/>
        <item x="197"/>
        <item x="297"/>
        <item x="208"/>
        <item x="118"/>
        <item x="261"/>
        <item x="60"/>
        <item x="231"/>
        <item x="37"/>
        <item x="256"/>
        <item x="68"/>
        <item x="221"/>
        <item x="41"/>
        <item x="279"/>
        <item x="100"/>
        <item x="190"/>
        <item x="187"/>
        <item x="223"/>
        <item x="36"/>
        <item x="59"/>
        <item x="267"/>
        <item x="50"/>
        <item x="251"/>
        <item x="113"/>
        <item x="159"/>
        <item x="123"/>
        <item x="244"/>
        <item x="175"/>
        <item x="290"/>
        <item x="263"/>
        <item x="209"/>
        <item x="181"/>
        <item x="275"/>
        <item x="203"/>
        <item x="229"/>
        <item x="2"/>
        <item x="183"/>
        <item x="147"/>
        <item x="15"/>
        <item x="266"/>
        <item x="210"/>
        <item x="137"/>
        <item x="42"/>
        <item x="195"/>
        <item x="128"/>
        <item x="120"/>
        <item x="188"/>
        <item x="254"/>
        <item x="252"/>
        <item x="143"/>
        <item x="27"/>
        <item x="131"/>
        <item x="273"/>
        <item x="264"/>
        <item x="63"/>
        <item x="272"/>
        <item x="38"/>
        <item x="121"/>
        <item x="206"/>
        <item x="43"/>
        <item x="262"/>
        <item x="218"/>
        <item x="298"/>
        <item x="132"/>
        <item x="163"/>
        <item x="260"/>
        <item x="296"/>
        <item x="153"/>
        <item x="69"/>
        <item x="104"/>
        <item x="54"/>
        <item x="168"/>
        <item x="239"/>
        <item x="152"/>
        <item x="150"/>
        <item x="255"/>
        <item x="287"/>
        <item x="106"/>
        <item x="173"/>
        <item x="257"/>
        <item x="142"/>
        <item x="155"/>
        <item x="165"/>
        <item x="288"/>
        <item x="240"/>
        <item x="73"/>
        <item x="86"/>
        <item x="126"/>
        <item x="58"/>
        <item x="119"/>
        <item x="64"/>
        <item x="61"/>
        <item x="207"/>
        <item x="222"/>
        <item x="112"/>
        <item x="117"/>
        <item x="211"/>
        <item x="204"/>
        <item x="24"/>
        <item x="174"/>
        <item x="225"/>
        <item x="25"/>
        <item x="20"/>
        <item x="282"/>
        <item x="125"/>
        <item x="191"/>
        <item x="30"/>
        <item x="199"/>
        <item x="277"/>
        <item x="80"/>
        <item x="280"/>
        <item x="246"/>
        <item x="228"/>
        <item x="284"/>
        <item x="271"/>
        <item x="268"/>
        <item x="148"/>
        <item x="227"/>
        <item x="28"/>
        <item x="114"/>
        <item x="243"/>
        <item x="205"/>
        <item x="52"/>
        <item x="84"/>
        <item x="250"/>
        <item x="140"/>
        <item x="53"/>
        <item x="12"/>
        <item x="179"/>
        <item x="193"/>
        <item x="281"/>
        <item x="293"/>
        <item x="274"/>
        <item x="5"/>
        <item x="65"/>
        <item x="269"/>
        <item x="116"/>
        <item x="8"/>
        <item x="122"/>
        <item x="237"/>
        <item x="196"/>
        <item x="97"/>
        <item x="180"/>
        <item x="177"/>
        <item x="129"/>
        <item t="default"/>
      </items>
    </pivotField>
    <pivotField showAll="0"/>
    <pivotField dataField="1" showAll="0"/>
    <pivotField axis="axisRow" showAll="0">
      <items count="9">
        <item x="1"/>
        <item x="4"/>
        <item x="7"/>
        <item x="3"/>
        <item x="2"/>
        <item x="5"/>
        <item x="6"/>
        <item x="0"/>
        <item t="default"/>
      </items>
    </pivotField>
    <pivotField dataField="1" showAll="0">
      <items count="5">
        <item x="0"/>
        <item x="1"/>
        <item x="3"/>
        <item x="2"/>
        <item t="default"/>
      </items>
    </pivotField>
  </pivotFields>
  <rowFields count="2">
    <field x="1"/>
    <field x="11"/>
  </rowFields>
  <rowItems count="14">
    <i>
      <x/>
    </i>
    <i r="1">
      <x/>
    </i>
    <i r="1">
      <x v="5"/>
    </i>
    <i r="1">
      <x v="7"/>
    </i>
    <i>
      <x v="1"/>
    </i>
    <i r="1">
      <x v="1"/>
    </i>
    <i r="1">
      <x v="4"/>
    </i>
    <i r="1">
      <x v="5"/>
    </i>
    <i r="1">
      <x v="6"/>
    </i>
    <i r="1">
      <x v="7"/>
    </i>
    <i>
      <x v="2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mpressions" fld="8" baseField="0" baseItem="0"/>
    <dataField name="Sum of Clicks" fld="10" baseField="0" baseItem="0"/>
    <dataField name="Sum of Likes" fld="5" baseField="0" baseItem="0"/>
    <dataField name="Count of Campaign_Nam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E8EF8-28FB-45AD-BF56-92E8237CDD0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9"/>
    <field x="8"/>
    <field x="7"/>
    <field x="0"/>
  </rowFields>
  <rowItems count="3">
    <i>
      <x v="1"/>
    </i>
    <i>
      <x v="2"/>
    </i>
    <i t="grand">
      <x/>
    </i>
  </rowItems>
  <colItems count="1">
    <i/>
  </colItems>
  <dataFields count="1">
    <dataField name="Sum of Engagement_Ra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ef6d21fd30294a3dbdc657be06ff2049?sid=73aef1a3-930c-42a8-b554-947e01ebc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C386-943F-4D6C-9597-82200EFC52F4}">
  <dimension ref="A3:F7"/>
  <sheetViews>
    <sheetView workbookViewId="0">
      <selection activeCell="E5" sqref="E5"/>
    </sheetView>
  </sheetViews>
  <sheetFormatPr defaultRowHeight="15"/>
  <cols>
    <col min="1" max="1" width="13.140625" bestFit="1" customWidth="1"/>
    <col min="2" max="2" width="21.85546875" bestFit="1" customWidth="1"/>
    <col min="3" max="3" width="16.85546875" bestFit="1" customWidth="1"/>
    <col min="4" max="4" width="22.140625" bestFit="1" customWidth="1"/>
    <col min="5" max="5" width="24" bestFit="1" customWidth="1"/>
    <col min="6" max="6" width="16.7109375" bestFit="1" customWidth="1"/>
  </cols>
  <sheetData>
    <row r="3" spans="1:6">
      <c r="A3" s="8" t="s">
        <v>374</v>
      </c>
      <c r="B3" t="s">
        <v>382</v>
      </c>
      <c r="C3" t="s">
        <v>385</v>
      </c>
      <c r="D3" t="s">
        <v>386</v>
      </c>
      <c r="E3" t="s">
        <v>379</v>
      </c>
      <c r="F3" t="s">
        <v>387</v>
      </c>
    </row>
    <row r="4" spans="1:6">
      <c r="A4" s="9" t="s">
        <v>14</v>
      </c>
      <c r="B4">
        <v>62938</v>
      </c>
      <c r="C4">
        <v>11900</v>
      </c>
      <c r="D4">
        <v>15642297</v>
      </c>
      <c r="E4">
        <v>432.69999999999987</v>
      </c>
      <c r="F4">
        <v>1035942</v>
      </c>
    </row>
    <row r="5" spans="1:6">
      <c r="A5" s="12" t="s">
        <v>24</v>
      </c>
      <c r="B5" s="13">
        <v>67378</v>
      </c>
      <c r="C5" s="13">
        <v>11834</v>
      </c>
      <c r="D5" s="13">
        <v>14575123</v>
      </c>
      <c r="E5" s="13">
        <v>461.33999999999992</v>
      </c>
      <c r="F5" s="13">
        <v>1114204</v>
      </c>
    </row>
    <row r="6" spans="1:6">
      <c r="A6" s="9" t="s">
        <v>31</v>
      </c>
      <c r="B6">
        <v>66245</v>
      </c>
      <c r="C6">
        <v>11239</v>
      </c>
      <c r="D6">
        <v>16284387</v>
      </c>
      <c r="E6">
        <v>443.45</v>
      </c>
      <c r="F6">
        <v>1065782</v>
      </c>
    </row>
    <row r="7" spans="1:6">
      <c r="A7" s="9" t="s">
        <v>375</v>
      </c>
      <c r="B7">
        <v>196561</v>
      </c>
      <c r="C7">
        <v>34973</v>
      </c>
      <c r="D7">
        <v>46501807</v>
      </c>
      <c r="E7">
        <v>1337.4899999999998</v>
      </c>
      <c r="F7">
        <v>3215928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DF1A-3729-4E46-BF82-7F9CCA502877}">
  <dimension ref="A3:E17"/>
  <sheetViews>
    <sheetView workbookViewId="0">
      <selection activeCell="A3" sqref="A3"/>
    </sheetView>
  </sheetViews>
  <sheetFormatPr defaultRowHeight="15"/>
  <cols>
    <col min="1" max="1" width="38.7109375" bestFit="1" customWidth="1"/>
    <col min="2" max="2" width="18.5703125" bestFit="1" customWidth="1"/>
    <col min="3" max="3" width="12.5703125" bestFit="1" customWidth="1"/>
    <col min="4" max="4" width="12" bestFit="1" customWidth="1"/>
    <col min="5" max="5" width="24.42578125" bestFit="1" customWidth="1"/>
    <col min="6" max="7" width="12.85546875" bestFit="1" customWidth="1"/>
  </cols>
  <sheetData>
    <row r="3" spans="1:5">
      <c r="A3" s="8" t="s">
        <v>374</v>
      </c>
      <c r="B3" t="s">
        <v>373</v>
      </c>
      <c r="C3" t="s">
        <v>376</v>
      </c>
      <c r="D3" t="s">
        <v>377</v>
      </c>
      <c r="E3" t="s">
        <v>378</v>
      </c>
    </row>
    <row r="4" spans="1:5">
      <c r="A4" s="9" t="s">
        <v>14</v>
      </c>
      <c r="B4">
        <v>3553489</v>
      </c>
      <c r="C4">
        <v>17417</v>
      </c>
      <c r="D4">
        <v>251473</v>
      </c>
      <c r="E4">
        <v>89</v>
      </c>
    </row>
    <row r="5" spans="1:5">
      <c r="A5" s="10" t="s">
        <v>21</v>
      </c>
      <c r="B5">
        <v>1358218</v>
      </c>
      <c r="C5">
        <v>6366</v>
      </c>
      <c r="D5">
        <v>96760</v>
      </c>
      <c r="E5">
        <v>33</v>
      </c>
    </row>
    <row r="6" spans="1:5">
      <c r="A6" s="10" t="s">
        <v>42</v>
      </c>
      <c r="B6">
        <v>865406</v>
      </c>
      <c r="C6">
        <v>4614</v>
      </c>
      <c r="D6">
        <v>61815</v>
      </c>
      <c r="E6">
        <v>23</v>
      </c>
    </row>
    <row r="7" spans="1:5">
      <c r="A7" s="10" t="s">
        <v>17</v>
      </c>
      <c r="B7">
        <v>1329865</v>
      </c>
      <c r="C7">
        <v>6437</v>
      </c>
      <c r="D7">
        <v>92898</v>
      </c>
      <c r="E7">
        <v>33</v>
      </c>
    </row>
    <row r="8" spans="1:5">
      <c r="A8" s="9" t="s">
        <v>24</v>
      </c>
      <c r="B8">
        <v>6138949</v>
      </c>
      <c r="C8">
        <v>27534</v>
      </c>
      <c r="D8">
        <v>450295</v>
      </c>
      <c r="E8">
        <v>148</v>
      </c>
    </row>
    <row r="9" spans="1:5">
      <c r="A9" s="10" t="s">
        <v>39</v>
      </c>
      <c r="B9">
        <v>1556471</v>
      </c>
      <c r="C9">
        <v>6621</v>
      </c>
      <c r="D9">
        <v>104267</v>
      </c>
      <c r="E9">
        <v>34</v>
      </c>
    </row>
    <row r="10" spans="1:5">
      <c r="A10" s="10" t="s">
        <v>27</v>
      </c>
      <c r="B10">
        <v>1420294</v>
      </c>
      <c r="C10">
        <v>5672</v>
      </c>
      <c r="D10">
        <v>105081</v>
      </c>
      <c r="E10">
        <v>33</v>
      </c>
    </row>
    <row r="11" spans="1:5">
      <c r="A11" s="10" t="s">
        <v>42</v>
      </c>
      <c r="B11">
        <v>1329233</v>
      </c>
      <c r="C11">
        <v>6257</v>
      </c>
      <c r="D11">
        <v>106033</v>
      </c>
      <c r="E11">
        <v>34</v>
      </c>
    </row>
    <row r="12" spans="1:5">
      <c r="A12" s="10" t="s">
        <v>45</v>
      </c>
      <c r="B12">
        <v>1136946</v>
      </c>
      <c r="C12">
        <v>5263</v>
      </c>
      <c r="D12">
        <v>72159</v>
      </c>
      <c r="E12">
        <v>27</v>
      </c>
    </row>
    <row r="13" spans="1:5">
      <c r="A13" s="10" t="s">
        <v>17</v>
      </c>
      <c r="B13">
        <v>696005</v>
      </c>
      <c r="C13">
        <v>3721</v>
      </c>
      <c r="D13">
        <v>62755</v>
      </c>
      <c r="E13">
        <v>20</v>
      </c>
    </row>
    <row r="14" spans="1:5">
      <c r="A14" s="9" t="s">
        <v>31</v>
      </c>
      <c r="B14">
        <v>2777994</v>
      </c>
      <c r="C14">
        <v>12645</v>
      </c>
      <c r="D14">
        <v>195407</v>
      </c>
      <c r="E14">
        <v>63</v>
      </c>
    </row>
    <row r="15" spans="1:5">
      <c r="A15" s="10" t="s">
        <v>58</v>
      </c>
      <c r="B15">
        <v>1233853</v>
      </c>
      <c r="C15">
        <v>5557</v>
      </c>
      <c r="D15">
        <v>89871</v>
      </c>
      <c r="E15">
        <v>29</v>
      </c>
    </row>
    <row r="16" spans="1:5">
      <c r="A16" s="10" t="s">
        <v>33</v>
      </c>
      <c r="B16">
        <v>1544141</v>
      </c>
      <c r="C16">
        <v>7088</v>
      </c>
      <c r="D16">
        <v>105536</v>
      </c>
      <c r="E16">
        <v>34</v>
      </c>
    </row>
    <row r="17" spans="1:5">
      <c r="A17" s="9" t="s">
        <v>375</v>
      </c>
      <c r="B17">
        <v>12470432</v>
      </c>
      <c r="C17">
        <v>57596</v>
      </c>
      <c r="D17">
        <v>897175</v>
      </c>
      <c r="E17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workbookViewId="0">
      <selection activeCell="S10" sqref="S10"/>
    </sheetView>
  </sheetViews>
  <sheetFormatPr defaultColWidth="14.42578125" defaultRowHeight="15" customHeight="1"/>
  <cols>
    <col min="1" max="2" width="8.7109375" customWidth="1"/>
    <col min="3" max="3" width="18.85546875" customWidth="1"/>
    <col min="4" max="12" width="8.7109375" customWidth="1"/>
    <col min="13" max="13" width="19" customWidth="1"/>
    <col min="14" max="26" width="8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9">
      <c r="A2" s="1" t="s">
        <v>13</v>
      </c>
      <c r="B2" s="1" t="s">
        <v>14</v>
      </c>
      <c r="C2" s="7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9">
      <c r="A3" s="1" t="s">
        <v>19</v>
      </c>
      <c r="B3" s="1" t="s">
        <v>14</v>
      </c>
      <c r="C3" s="7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9">
      <c r="A4" s="1" t="s">
        <v>23</v>
      </c>
      <c r="B4" s="1" t="s">
        <v>24</v>
      </c>
      <c r="C4" s="7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9">
      <c r="A5" s="1" t="s">
        <v>28</v>
      </c>
      <c r="B5" s="1" t="s">
        <v>14</v>
      </c>
      <c r="C5" s="7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9">
      <c r="A6" s="1" t="s">
        <v>30</v>
      </c>
      <c r="B6" s="1" t="s">
        <v>31</v>
      </c>
      <c r="C6" s="7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9">
      <c r="A7" s="1" t="s">
        <v>34</v>
      </c>
      <c r="B7" s="1" t="s">
        <v>31</v>
      </c>
      <c r="C7" s="7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9">
      <c r="A8" s="1" t="s">
        <v>36</v>
      </c>
      <c r="B8" s="1" t="s">
        <v>24</v>
      </c>
      <c r="C8" s="7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9">
      <c r="A9" s="1" t="s">
        <v>38</v>
      </c>
      <c r="B9" s="1" t="s">
        <v>24</v>
      </c>
      <c r="C9" s="7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9">
      <c r="A10" s="1" t="s">
        <v>40</v>
      </c>
      <c r="B10" s="1" t="s">
        <v>24</v>
      </c>
      <c r="C10" s="7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  <c r="S10">
        <f>F1:F301+G1:G301+H1:H301/I1:I301</f>
        <v>4655.0050664226646</v>
      </c>
    </row>
    <row r="11" spans="1:19">
      <c r="A11" s="1" t="s">
        <v>43</v>
      </c>
      <c r="B11" s="1" t="s">
        <v>24</v>
      </c>
      <c r="C11" s="7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9">
      <c r="A12" s="1" t="s">
        <v>44</v>
      </c>
      <c r="B12" s="1" t="s">
        <v>24</v>
      </c>
      <c r="C12" s="7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9">
      <c r="A13" s="1" t="s">
        <v>46</v>
      </c>
      <c r="B13" s="1" t="s">
        <v>14</v>
      </c>
      <c r="C13" s="7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9">
      <c r="A14" s="1" t="s">
        <v>47</v>
      </c>
      <c r="B14" s="1" t="s">
        <v>24</v>
      </c>
      <c r="C14" s="7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9">
      <c r="A15" s="1" t="s">
        <v>48</v>
      </c>
      <c r="B15" s="1" t="s">
        <v>24</v>
      </c>
      <c r="C15" s="7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9">
      <c r="A16" s="1" t="s">
        <v>50</v>
      </c>
      <c r="B16" s="1" t="s">
        <v>24</v>
      </c>
      <c r="C16" s="7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>
      <c r="A17" s="1" t="s">
        <v>52</v>
      </c>
      <c r="B17" s="1" t="s">
        <v>24</v>
      </c>
      <c r="C17" s="7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>
      <c r="A18" s="1" t="s">
        <v>53</v>
      </c>
      <c r="B18" s="1" t="s">
        <v>24</v>
      </c>
      <c r="C18" s="7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>
      <c r="A19" s="1" t="s">
        <v>54</v>
      </c>
      <c r="B19" s="1" t="s">
        <v>14</v>
      </c>
      <c r="C19" s="7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>
      <c r="A20" s="1" t="s">
        <v>56</v>
      </c>
      <c r="B20" s="1" t="s">
        <v>31</v>
      </c>
      <c r="C20" s="7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7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7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7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7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7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7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7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7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7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7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7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7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7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7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7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7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7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7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7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7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7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7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7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7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7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7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7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7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7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7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7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7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7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7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7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7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7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7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7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7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7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7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7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7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7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7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7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7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7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7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7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7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7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7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7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7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7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7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7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7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7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7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7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7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7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7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7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7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7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7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7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7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7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7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7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7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7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7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7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7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7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7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7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7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7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7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7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7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7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7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7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7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7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7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7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7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7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7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7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7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7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7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7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7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7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7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7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7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7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7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7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7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7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7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7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7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7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7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7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7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7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7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7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7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7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7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7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7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7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7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7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7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7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7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7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7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7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7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7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7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7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7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7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7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7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7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7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7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7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7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7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7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7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7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7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7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7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7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7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7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7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7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7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7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7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7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7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7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7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7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7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7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7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7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7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7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7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7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7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7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7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7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7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7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7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7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7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7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7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7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7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7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7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7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7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7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7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7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7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7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7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7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7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7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7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7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7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7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7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7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7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7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7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7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7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7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7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7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7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7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7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7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7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7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7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7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7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7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7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7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7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7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7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7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7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7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7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7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7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7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7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7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7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7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7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7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7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7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7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7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7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7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7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7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7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7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7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7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7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7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7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7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7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7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7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7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7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7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7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7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7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7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7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7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7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7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7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7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7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7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7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A9FF-03A7-4080-AE1B-E9FAB9111393}">
  <dimension ref="A3:B6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24" bestFit="1" customWidth="1"/>
    <col min="3" max="3" width="21.85546875" bestFit="1" customWidth="1"/>
  </cols>
  <sheetData>
    <row r="3" spans="1:2">
      <c r="A3" s="8" t="s">
        <v>374</v>
      </c>
      <c r="B3" t="s">
        <v>379</v>
      </c>
    </row>
    <row r="4" spans="1:2">
      <c r="A4" s="9" t="s">
        <v>380</v>
      </c>
      <c r="B4">
        <v>648.05999999999983</v>
      </c>
    </row>
    <row r="5" spans="1:2">
      <c r="A5" s="9" t="s">
        <v>381</v>
      </c>
      <c r="B5">
        <v>689.4300000000004</v>
      </c>
    </row>
    <row r="6" spans="1:2">
      <c r="A6" s="9" t="s">
        <v>375</v>
      </c>
      <c r="B6">
        <v>1337.4900000000002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K4" sqref="K4"/>
    </sheetView>
  </sheetViews>
  <sheetFormatPr defaultColWidth="14.42578125" defaultRowHeight="15" customHeight="1"/>
  <cols>
    <col min="1" max="2" width="23.85546875" customWidth="1"/>
    <col min="3" max="4" width="8.7109375" customWidth="1"/>
    <col min="5" max="5" width="10.42578125" customWidth="1"/>
    <col min="6" max="6" width="10.7109375" customWidth="1"/>
    <col min="7" max="26" width="8.7109375" customWidth="1"/>
  </cols>
  <sheetData>
    <row r="1" spans="1:11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11">
      <c r="A2" s="4">
        <v>45810</v>
      </c>
      <c r="B2" s="1" t="s">
        <v>31</v>
      </c>
      <c r="C2" s="3">
        <v>637</v>
      </c>
      <c r="D2" s="3">
        <v>68</v>
      </c>
      <c r="E2" s="3">
        <v>115694</v>
      </c>
      <c r="F2" s="3">
        <v>9.99</v>
      </c>
      <c r="G2" s="3">
        <v>12562</v>
      </c>
    </row>
    <row r="3" spans="1:11">
      <c r="A3" s="4">
        <v>45845</v>
      </c>
      <c r="B3" s="1" t="s">
        <v>14</v>
      </c>
      <c r="C3" s="3">
        <v>974</v>
      </c>
      <c r="D3" s="3">
        <v>143</v>
      </c>
      <c r="E3" s="3">
        <v>247965</v>
      </c>
      <c r="F3" s="3">
        <v>9.98</v>
      </c>
      <c r="G3" s="3">
        <v>12767</v>
      </c>
      <c r="K3" s="11" t="s">
        <v>383</v>
      </c>
    </row>
    <row r="4" spans="1:11">
      <c r="A4" s="4">
        <v>45453</v>
      </c>
      <c r="B4" s="1" t="s">
        <v>31</v>
      </c>
      <c r="C4" s="3">
        <v>545</v>
      </c>
      <c r="D4" s="3">
        <v>93</v>
      </c>
      <c r="E4" s="3">
        <v>391621</v>
      </c>
      <c r="F4" s="3">
        <v>9.9600000000000009</v>
      </c>
      <c r="G4" s="3">
        <v>22029</v>
      </c>
      <c r="K4">
        <f>F2:F201/G2:G201</f>
        <v>4.5213128149257798E-4</v>
      </c>
    </row>
    <row r="5" spans="1:11">
      <c r="A5" s="4">
        <v>45845</v>
      </c>
      <c r="B5" s="1" t="s">
        <v>24</v>
      </c>
      <c r="C5" s="3">
        <v>1155</v>
      </c>
      <c r="D5" s="3">
        <v>122</v>
      </c>
      <c r="E5" s="3">
        <v>387352</v>
      </c>
      <c r="F5" s="3">
        <v>9.93</v>
      </c>
      <c r="G5" s="3">
        <v>12170</v>
      </c>
    </row>
    <row r="6" spans="1:11">
      <c r="A6" s="2">
        <v>45446</v>
      </c>
      <c r="B6" s="1" t="s">
        <v>14</v>
      </c>
      <c r="C6" s="3">
        <v>1402</v>
      </c>
      <c r="D6" s="3">
        <v>68</v>
      </c>
      <c r="E6" s="3">
        <v>124562</v>
      </c>
      <c r="F6" s="3">
        <v>9.92</v>
      </c>
      <c r="G6" s="3">
        <v>23125</v>
      </c>
      <c r="K6" s="11" t="s">
        <v>384</v>
      </c>
    </row>
    <row r="7" spans="1:11">
      <c r="A7" s="4">
        <v>45509</v>
      </c>
      <c r="B7" s="1" t="s">
        <v>14</v>
      </c>
      <c r="C7" s="3">
        <v>1449</v>
      </c>
      <c r="D7" s="3">
        <v>96</v>
      </c>
      <c r="E7" s="3">
        <v>200636</v>
      </c>
      <c r="F7" s="3">
        <v>9.92</v>
      </c>
      <c r="G7" s="3">
        <v>15613</v>
      </c>
      <c r="K7">
        <f>F2/G2</f>
        <v>7.952555325585098E-4</v>
      </c>
    </row>
    <row r="8" spans="1:11">
      <c r="A8" s="4">
        <v>45600</v>
      </c>
      <c r="B8" s="1" t="s">
        <v>24</v>
      </c>
      <c r="C8" s="3">
        <v>1463</v>
      </c>
      <c r="D8" s="3">
        <v>73</v>
      </c>
      <c r="E8" s="3">
        <v>348877</v>
      </c>
      <c r="F8" s="3">
        <v>9.91</v>
      </c>
      <c r="G8" s="3">
        <v>26273</v>
      </c>
    </row>
    <row r="9" spans="1:11">
      <c r="A9" s="4">
        <v>45684</v>
      </c>
      <c r="B9" s="1" t="s">
        <v>14</v>
      </c>
      <c r="C9" s="3">
        <v>566</v>
      </c>
      <c r="D9" s="3">
        <v>225</v>
      </c>
      <c r="E9" s="3">
        <v>368984</v>
      </c>
      <c r="F9" s="3">
        <v>9.82</v>
      </c>
      <c r="G9" s="3">
        <v>9592</v>
      </c>
    </row>
    <row r="10" spans="1:11">
      <c r="A10" s="4">
        <v>45621</v>
      </c>
      <c r="B10" s="1" t="s">
        <v>31</v>
      </c>
      <c r="C10" s="3">
        <v>1313</v>
      </c>
      <c r="D10" s="3">
        <v>159</v>
      </c>
      <c r="E10" s="3">
        <v>197183</v>
      </c>
      <c r="F10" s="3">
        <v>9.7100000000000009</v>
      </c>
      <c r="G10" s="3">
        <v>6625</v>
      </c>
    </row>
    <row r="11" spans="1:11">
      <c r="A11" s="4">
        <v>45747</v>
      </c>
      <c r="B11" s="1" t="s">
        <v>24</v>
      </c>
      <c r="C11" s="3">
        <v>1232</v>
      </c>
      <c r="D11" s="3">
        <v>254</v>
      </c>
      <c r="E11" s="3">
        <v>107718</v>
      </c>
      <c r="F11" s="3">
        <v>9.7100000000000009</v>
      </c>
      <c r="G11" s="3">
        <v>13740</v>
      </c>
    </row>
    <row r="12" spans="1:11">
      <c r="A12" s="4">
        <v>45467</v>
      </c>
      <c r="B12" s="1" t="s">
        <v>31</v>
      </c>
      <c r="C12" s="3">
        <v>844</v>
      </c>
      <c r="D12" s="3">
        <v>144</v>
      </c>
      <c r="E12" s="3">
        <v>126015</v>
      </c>
      <c r="F12" s="3">
        <v>9.65</v>
      </c>
      <c r="G12" s="3">
        <v>22456</v>
      </c>
    </row>
    <row r="13" spans="1:11">
      <c r="A13" s="4">
        <v>45852</v>
      </c>
      <c r="B13" s="1" t="s">
        <v>24</v>
      </c>
      <c r="C13" s="3">
        <v>670</v>
      </c>
      <c r="D13" s="3">
        <v>242</v>
      </c>
      <c r="E13" s="3">
        <v>281913</v>
      </c>
      <c r="F13" s="3">
        <v>9.6199999999999992</v>
      </c>
      <c r="G13" s="3">
        <v>16377</v>
      </c>
    </row>
    <row r="14" spans="1:11">
      <c r="A14" s="4">
        <v>45565</v>
      </c>
      <c r="B14" s="1" t="s">
        <v>24</v>
      </c>
      <c r="C14" s="3">
        <v>998</v>
      </c>
      <c r="D14" s="3">
        <v>154</v>
      </c>
      <c r="E14" s="3">
        <v>179781</v>
      </c>
      <c r="F14" s="3">
        <v>9.58</v>
      </c>
      <c r="G14" s="3">
        <v>12115</v>
      </c>
    </row>
    <row r="15" spans="1:11">
      <c r="A15" s="4">
        <v>45579</v>
      </c>
      <c r="B15" s="1" t="s">
        <v>31</v>
      </c>
      <c r="C15" s="3">
        <v>1457</v>
      </c>
      <c r="D15" s="3">
        <v>215</v>
      </c>
      <c r="E15" s="3">
        <v>325325</v>
      </c>
      <c r="F15" s="3">
        <v>9.58</v>
      </c>
      <c r="G15" s="3">
        <v>14178</v>
      </c>
    </row>
    <row r="16" spans="1:11">
      <c r="A16" s="4">
        <v>45733</v>
      </c>
      <c r="B16" s="1" t="s">
        <v>31</v>
      </c>
      <c r="C16" s="3">
        <v>1274</v>
      </c>
      <c r="D16" s="3">
        <v>146</v>
      </c>
      <c r="E16" s="3">
        <v>263488</v>
      </c>
      <c r="F16" s="3">
        <v>9.58</v>
      </c>
      <c r="G16" s="3">
        <v>8698</v>
      </c>
    </row>
    <row r="17" spans="1:7">
      <c r="A17" s="4">
        <v>45740</v>
      </c>
      <c r="B17" s="1" t="s">
        <v>24</v>
      </c>
      <c r="C17" s="3">
        <v>975</v>
      </c>
      <c r="D17" s="3">
        <v>162</v>
      </c>
      <c r="E17" s="3">
        <v>124497</v>
      </c>
      <c r="F17" s="3">
        <v>9.58</v>
      </c>
      <c r="G17" s="3">
        <v>26618</v>
      </c>
    </row>
    <row r="18" spans="1:7">
      <c r="A18" s="4">
        <v>45551</v>
      </c>
      <c r="B18" s="1" t="s">
        <v>24</v>
      </c>
      <c r="C18" s="3">
        <v>1373</v>
      </c>
      <c r="D18" s="3">
        <v>82</v>
      </c>
      <c r="E18" s="3">
        <v>371015</v>
      </c>
      <c r="F18" s="3">
        <v>9.52</v>
      </c>
      <c r="G18" s="3">
        <v>20306</v>
      </c>
    </row>
    <row r="19" spans="1:7">
      <c r="A19" s="4">
        <v>45467</v>
      </c>
      <c r="B19" s="1" t="s">
        <v>14</v>
      </c>
      <c r="C19" s="3">
        <v>809</v>
      </c>
      <c r="D19" s="3">
        <v>197</v>
      </c>
      <c r="E19" s="3">
        <v>87186</v>
      </c>
      <c r="F19" s="3">
        <v>9.48</v>
      </c>
      <c r="G19" s="3">
        <v>22619</v>
      </c>
    </row>
    <row r="20" spans="1:7">
      <c r="A20" s="4">
        <v>45453</v>
      </c>
      <c r="B20" s="1" t="s">
        <v>14</v>
      </c>
      <c r="C20" s="3">
        <v>1018</v>
      </c>
      <c r="D20" s="3">
        <v>90</v>
      </c>
      <c r="E20" s="3">
        <v>92474</v>
      </c>
      <c r="F20" s="3">
        <v>9.4</v>
      </c>
      <c r="G20" s="3">
        <v>11966</v>
      </c>
    </row>
    <row r="21" spans="1:7" ht="15.75" customHeight="1">
      <c r="A21" s="4">
        <v>45516</v>
      </c>
      <c r="B21" s="1" t="s">
        <v>31</v>
      </c>
      <c r="C21" s="3">
        <v>1109</v>
      </c>
      <c r="D21" s="3">
        <v>205</v>
      </c>
      <c r="E21" s="3">
        <v>276722</v>
      </c>
      <c r="F21" s="3">
        <v>9.3800000000000008</v>
      </c>
      <c r="G21" s="3">
        <v>8274</v>
      </c>
    </row>
    <row r="22" spans="1:7" ht="15.75" customHeight="1">
      <c r="A22" s="4">
        <v>45887</v>
      </c>
      <c r="B22" s="1" t="s">
        <v>31</v>
      </c>
      <c r="C22" s="3">
        <v>936</v>
      </c>
      <c r="D22" s="3">
        <v>97</v>
      </c>
      <c r="E22" s="3">
        <v>151799</v>
      </c>
      <c r="F22" s="3">
        <v>9.3699999999999992</v>
      </c>
      <c r="G22" s="3">
        <v>15461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45558</v>
      </c>
      <c r="B24" s="1" t="s">
        <v>14</v>
      </c>
      <c r="C24" s="3">
        <v>1290</v>
      </c>
      <c r="D24" s="3">
        <v>177</v>
      </c>
      <c r="E24" s="3">
        <v>80745</v>
      </c>
      <c r="F24" s="3">
        <v>9.2200000000000006</v>
      </c>
      <c r="G24" s="3">
        <v>26872</v>
      </c>
    </row>
    <row r="25" spans="1:7" ht="15.75" customHeight="1">
      <c r="A25" s="4">
        <v>45635</v>
      </c>
      <c r="B25" s="1" t="s">
        <v>14</v>
      </c>
      <c r="C25" s="3">
        <v>875</v>
      </c>
      <c r="D25" s="3">
        <v>264</v>
      </c>
      <c r="E25" s="3">
        <v>345631</v>
      </c>
      <c r="F25" s="3">
        <v>9.18</v>
      </c>
      <c r="G25" s="3">
        <v>25703</v>
      </c>
    </row>
    <row r="26" spans="1:7" ht="15.75" customHeight="1">
      <c r="A26" s="4">
        <v>45782</v>
      </c>
      <c r="B26" s="1" t="s">
        <v>31</v>
      </c>
      <c r="C26" s="3">
        <v>622</v>
      </c>
      <c r="D26" s="3">
        <v>163</v>
      </c>
      <c r="E26" s="3">
        <v>231925</v>
      </c>
      <c r="F26" s="3">
        <v>9.18</v>
      </c>
      <c r="G26" s="3">
        <v>13763</v>
      </c>
    </row>
    <row r="27" spans="1:7" ht="15.75" customHeight="1">
      <c r="A27" s="4">
        <v>45642</v>
      </c>
      <c r="B27" s="1" t="s">
        <v>24</v>
      </c>
      <c r="C27" s="3">
        <v>632</v>
      </c>
      <c r="D27" s="3">
        <v>155</v>
      </c>
      <c r="E27" s="3">
        <v>170432</v>
      </c>
      <c r="F27" s="3">
        <v>9.17</v>
      </c>
      <c r="G27" s="3">
        <v>12840</v>
      </c>
    </row>
    <row r="28" spans="1:7" ht="15.75" customHeight="1">
      <c r="A28" s="4">
        <v>45677</v>
      </c>
      <c r="B28" s="1" t="s">
        <v>24</v>
      </c>
      <c r="C28" s="3">
        <v>841</v>
      </c>
      <c r="D28" s="3">
        <v>295</v>
      </c>
      <c r="E28" s="3">
        <v>271638</v>
      </c>
      <c r="F28" s="3">
        <v>9.15</v>
      </c>
      <c r="G28" s="3">
        <v>5900</v>
      </c>
    </row>
    <row r="29" spans="1:7" ht="15.75" customHeight="1">
      <c r="A29" s="4">
        <v>45845</v>
      </c>
      <c r="B29" s="1" t="s">
        <v>31</v>
      </c>
      <c r="C29" s="3">
        <v>1051</v>
      </c>
      <c r="D29" s="3">
        <v>246</v>
      </c>
      <c r="E29" s="3">
        <v>253985</v>
      </c>
      <c r="F29" s="3">
        <v>9.08</v>
      </c>
      <c r="G29" s="3">
        <v>7245</v>
      </c>
    </row>
    <row r="30" spans="1:7" ht="15.75" customHeight="1">
      <c r="A30" s="4">
        <v>45663</v>
      </c>
      <c r="B30" s="1" t="s">
        <v>31</v>
      </c>
      <c r="C30" s="3">
        <v>953</v>
      </c>
      <c r="D30" s="3">
        <v>228</v>
      </c>
      <c r="E30" s="3">
        <v>258398</v>
      </c>
      <c r="F30" s="3">
        <v>9.0500000000000007</v>
      </c>
      <c r="G30" s="3">
        <v>13314</v>
      </c>
    </row>
    <row r="31" spans="1:7" ht="15.75" customHeight="1">
      <c r="A31" s="4">
        <v>45453</v>
      </c>
      <c r="B31" s="1" t="s">
        <v>24</v>
      </c>
      <c r="C31" s="3">
        <v>1461</v>
      </c>
      <c r="D31" s="3">
        <v>64</v>
      </c>
      <c r="E31" s="3">
        <v>328902</v>
      </c>
      <c r="F31" s="3">
        <v>9.02</v>
      </c>
      <c r="G31" s="3">
        <v>26298</v>
      </c>
    </row>
    <row r="32" spans="1:7" ht="15.75" customHeight="1">
      <c r="A32" s="4">
        <v>45621</v>
      </c>
      <c r="B32" s="1" t="s">
        <v>14</v>
      </c>
      <c r="C32" s="3">
        <v>663</v>
      </c>
      <c r="D32" s="3">
        <v>213</v>
      </c>
      <c r="E32" s="3">
        <v>352677</v>
      </c>
      <c r="F32" s="3">
        <v>9</v>
      </c>
      <c r="G32" s="3">
        <v>20438</v>
      </c>
    </row>
    <row r="33" spans="1:7" ht="15.75" customHeight="1">
      <c r="A33" s="4">
        <v>45649</v>
      </c>
      <c r="B33" s="1" t="s">
        <v>31</v>
      </c>
      <c r="C33" s="3">
        <v>935</v>
      </c>
      <c r="D33" s="3">
        <v>85</v>
      </c>
      <c r="E33" s="3">
        <v>326821</v>
      </c>
      <c r="F33" s="3">
        <v>8.89</v>
      </c>
      <c r="G33" s="3">
        <v>13301</v>
      </c>
    </row>
    <row r="34" spans="1:7" ht="15.75" customHeight="1">
      <c r="A34" s="4">
        <v>45565</v>
      </c>
      <c r="B34" s="1" t="s">
        <v>31</v>
      </c>
      <c r="C34" s="3">
        <v>1421</v>
      </c>
      <c r="D34" s="3">
        <v>246</v>
      </c>
      <c r="E34" s="3">
        <v>358581</v>
      </c>
      <c r="F34" s="3">
        <v>8.8800000000000008</v>
      </c>
      <c r="G34" s="3">
        <v>24358</v>
      </c>
    </row>
    <row r="35" spans="1:7" ht="15.75" customHeight="1">
      <c r="A35" s="4">
        <v>45621</v>
      </c>
      <c r="B35" s="1" t="s">
        <v>24</v>
      </c>
      <c r="C35" s="3">
        <v>954</v>
      </c>
      <c r="D35" s="3">
        <v>271</v>
      </c>
      <c r="E35" s="3">
        <v>160936</v>
      </c>
      <c r="F35" s="3">
        <v>8.83</v>
      </c>
      <c r="G35" s="3">
        <v>8760</v>
      </c>
    </row>
    <row r="36" spans="1:7" ht="15.75" customHeight="1">
      <c r="A36" s="4">
        <v>45551</v>
      </c>
      <c r="B36" s="1" t="s">
        <v>14</v>
      </c>
      <c r="C36" s="3">
        <v>681</v>
      </c>
      <c r="D36" s="3">
        <v>210</v>
      </c>
      <c r="E36" s="3">
        <v>248581</v>
      </c>
      <c r="F36" s="3">
        <v>8.76</v>
      </c>
      <c r="G36" s="3">
        <v>9567</v>
      </c>
    </row>
    <row r="37" spans="1:7" ht="15.75" customHeight="1">
      <c r="A37" s="4">
        <v>45670</v>
      </c>
      <c r="B37" s="1" t="s">
        <v>24</v>
      </c>
      <c r="C37" s="3">
        <v>1414</v>
      </c>
      <c r="D37" s="3">
        <v>60</v>
      </c>
      <c r="E37" s="3">
        <v>341856</v>
      </c>
      <c r="F37" s="3">
        <v>8.76</v>
      </c>
      <c r="G37" s="3">
        <v>6868</v>
      </c>
    </row>
    <row r="38" spans="1:7" ht="15.75" customHeight="1">
      <c r="A38" s="4">
        <v>45600</v>
      </c>
      <c r="B38" s="1" t="s">
        <v>31</v>
      </c>
      <c r="C38" s="3">
        <v>1208</v>
      </c>
      <c r="D38" s="3">
        <v>224</v>
      </c>
      <c r="E38" s="3">
        <v>122730</v>
      </c>
      <c r="F38" s="3">
        <v>8.7200000000000006</v>
      </c>
      <c r="G38" s="3">
        <v>10858</v>
      </c>
    </row>
    <row r="39" spans="1:7" ht="15.75" customHeight="1">
      <c r="A39" s="4">
        <v>45880</v>
      </c>
      <c r="B39" s="1" t="s">
        <v>24</v>
      </c>
      <c r="C39" s="3">
        <v>938</v>
      </c>
      <c r="D39" s="3">
        <v>236</v>
      </c>
      <c r="E39" s="3">
        <v>116472</v>
      </c>
      <c r="F39" s="3">
        <v>8.7200000000000006</v>
      </c>
      <c r="G39" s="3">
        <v>17460</v>
      </c>
    </row>
    <row r="40" spans="1:7" ht="15.75" customHeight="1">
      <c r="A40" s="4">
        <v>45852</v>
      </c>
      <c r="B40" s="1" t="s">
        <v>31</v>
      </c>
      <c r="C40" s="3">
        <v>1111</v>
      </c>
      <c r="D40" s="3">
        <v>159</v>
      </c>
      <c r="E40" s="3">
        <v>360770</v>
      </c>
      <c r="F40" s="3">
        <v>8.7100000000000009</v>
      </c>
      <c r="G40" s="3">
        <v>11453</v>
      </c>
    </row>
    <row r="41" spans="1:7" ht="15.75" customHeight="1">
      <c r="A41" s="4">
        <v>45789</v>
      </c>
      <c r="B41" s="1" t="s">
        <v>24</v>
      </c>
      <c r="C41" s="3">
        <v>544</v>
      </c>
      <c r="D41" s="3">
        <v>97</v>
      </c>
      <c r="E41" s="3">
        <v>168375</v>
      </c>
      <c r="F41" s="3">
        <v>8.66</v>
      </c>
      <c r="G41" s="3">
        <v>12774</v>
      </c>
    </row>
    <row r="42" spans="1:7" ht="15.75" customHeight="1">
      <c r="A42" s="4">
        <v>45698</v>
      </c>
      <c r="B42" s="1" t="s">
        <v>14</v>
      </c>
      <c r="C42" s="3">
        <v>1066</v>
      </c>
      <c r="D42" s="3">
        <v>151</v>
      </c>
      <c r="E42" s="3">
        <v>297090</v>
      </c>
      <c r="F42" s="3">
        <v>8.6300000000000008</v>
      </c>
      <c r="G42" s="3">
        <v>11235</v>
      </c>
    </row>
    <row r="43" spans="1:7" ht="15.75" customHeight="1">
      <c r="A43" s="4">
        <v>45873</v>
      </c>
      <c r="B43" s="1" t="s">
        <v>24</v>
      </c>
      <c r="C43" s="3">
        <v>640</v>
      </c>
      <c r="D43" s="3">
        <v>141</v>
      </c>
      <c r="E43" s="3">
        <v>267546</v>
      </c>
      <c r="F43" s="3">
        <v>8.58</v>
      </c>
      <c r="G43" s="3">
        <v>25058</v>
      </c>
    </row>
    <row r="44" spans="1:7" ht="15.75" customHeight="1">
      <c r="A44" s="2">
        <v>45481</v>
      </c>
      <c r="B44" s="1" t="s">
        <v>24</v>
      </c>
      <c r="C44" s="3">
        <v>1471</v>
      </c>
      <c r="D44" s="3">
        <v>100</v>
      </c>
      <c r="E44" s="3">
        <v>76866</v>
      </c>
      <c r="F44" s="3">
        <v>8.5500000000000007</v>
      </c>
      <c r="G44" s="3">
        <v>14412</v>
      </c>
    </row>
    <row r="45" spans="1:7" ht="15.75" customHeight="1">
      <c r="A45" s="4">
        <v>45488</v>
      </c>
      <c r="B45" s="1" t="s">
        <v>24</v>
      </c>
      <c r="C45" s="3">
        <v>1308</v>
      </c>
      <c r="D45" s="3">
        <v>210</v>
      </c>
      <c r="E45" s="3">
        <v>263729</v>
      </c>
      <c r="F45" s="3">
        <v>8.5299999999999994</v>
      </c>
      <c r="G45" s="3">
        <v>25742</v>
      </c>
    </row>
    <row r="46" spans="1:7" ht="15.75" customHeight="1">
      <c r="A46" s="2">
        <v>45481</v>
      </c>
      <c r="B46" s="1" t="s">
        <v>14</v>
      </c>
      <c r="C46" s="3">
        <v>797</v>
      </c>
      <c r="D46" s="3">
        <v>130</v>
      </c>
      <c r="E46" s="3">
        <v>340121</v>
      </c>
      <c r="F46" s="3">
        <v>8.52</v>
      </c>
      <c r="G46" s="3">
        <v>11684</v>
      </c>
    </row>
    <row r="47" spans="1:7" ht="15.75" customHeight="1">
      <c r="A47" s="4">
        <v>45873</v>
      </c>
      <c r="B47" s="1" t="s">
        <v>31</v>
      </c>
      <c r="C47" s="3">
        <v>616</v>
      </c>
      <c r="D47" s="3">
        <v>93</v>
      </c>
      <c r="E47" s="3">
        <v>133082</v>
      </c>
      <c r="F47" s="3">
        <v>8.51</v>
      </c>
      <c r="G47" s="3">
        <v>18303</v>
      </c>
    </row>
    <row r="48" spans="1:7" ht="15.75" customHeight="1">
      <c r="A48" s="4">
        <v>45572</v>
      </c>
      <c r="B48" s="1" t="s">
        <v>24</v>
      </c>
      <c r="C48" s="3">
        <v>678</v>
      </c>
      <c r="D48" s="3">
        <v>124</v>
      </c>
      <c r="E48" s="3">
        <v>192022</v>
      </c>
      <c r="F48" s="3">
        <v>8.4499999999999993</v>
      </c>
      <c r="G48" s="3">
        <v>17729</v>
      </c>
    </row>
    <row r="49" spans="1:7" ht="15.75" customHeight="1">
      <c r="A49" s="4">
        <v>45831</v>
      </c>
      <c r="B49" s="1" t="s">
        <v>14</v>
      </c>
      <c r="C49" s="3">
        <v>564</v>
      </c>
      <c r="D49" s="3">
        <v>244</v>
      </c>
      <c r="E49" s="3">
        <v>279405</v>
      </c>
      <c r="F49" s="3">
        <v>8.43</v>
      </c>
      <c r="G49" s="3">
        <v>26024</v>
      </c>
    </row>
    <row r="50" spans="1:7" ht="15.75" customHeight="1">
      <c r="A50" s="4">
        <v>45488</v>
      </c>
      <c r="B50" s="1" t="s">
        <v>31</v>
      </c>
      <c r="C50" s="3">
        <v>981</v>
      </c>
      <c r="D50" s="3">
        <v>69</v>
      </c>
      <c r="E50" s="3">
        <v>206921</v>
      </c>
      <c r="F50" s="3">
        <v>8.42</v>
      </c>
      <c r="G50" s="3">
        <v>10495</v>
      </c>
    </row>
    <row r="51" spans="1:7" ht="15.75" customHeight="1">
      <c r="A51" s="4">
        <v>45572</v>
      </c>
      <c r="B51" s="1" t="s">
        <v>31</v>
      </c>
      <c r="C51" s="3">
        <v>1328</v>
      </c>
      <c r="D51" s="3">
        <v>103</v>
      </c>
      <c r="E51" s="3">
        <v>151462</v>
      </c>
      <c r="F51" s="3">
        <v>8.4</v>
      </c>
      <c r="G51" s="3">
        <v>10881</v>
      </c>
    </row>
    <row r="52" spans="1:7" ht="15.75" customHeight="1">
      <c r="A52" s="4">
        <v>45607</v>
      </c>
      <c r="B52" s="1" t="s">
        <v>14</v>
      </c>
      <c r="C52" s="3">
        <v>1391</v>
      </c>
      <c r="D52" s="3">
        <v>187</v>
      </c>
      <c r="E52" s="3">
        <v>306508</v>
      </c>
      <c r="F52" s="3">
        <v>8.3800000000000008</v>
      </c>
      <c r="G52" s="3">
        <v>25038</v>
      </c>
    </row>
    <row r="53" spans="1:7" ht="15.75" customHeight="1">
      <c r="A53" s="4">
        <v>45887</v>
      </c>
      <c r="B53" s="1" t="s">
        <v>14</v>
      </c>
      <c r="C53" s="3">
        <v>541</v>
      </c>
      <c r="D53" s="3">
        <v>208</v>
      </c>
      <c r="E53" s="3">
        <v>157547</v>
      </c>
      <c r="F53" s="3">
        <v>8.35</v>
      </c>
      <c r="G53" s="3">
        <v>20162</v>
      </c>
    </row>
    <row r="54" spans="1:7" ht="15.75" customHeight="1">
      <c r="A54" s="4">
        <v>45460</v>
      </c>
      <c r="B54" s="1" t="s">
        <v>24</v>
      </c>
      <c r="C54" s="3">
        <v>1414</v>
      </c>
      <c r="D54" s="3">
        <v>131</v>
      </c>
      <c r="E54" s="3">
        <v>245947</v>
      </c>
      <c r="F54" s="3">
        <v>8.3000000000000007</v>
      </c>
      <c r="G54" s="3">
        <v>14477</v>
      </c>
    </row>
    <row r="55" spans="1:7" ht="15.75" customHeight="1">
      <c r="A55" s="4">
        <v>45719</v>
      </c>
      <c r="B55" s="1" t="s">
        <v>14</v>
      </c>
      <c r="C55" s="3">
        <v>1444</v>
      </c>
      <c r="D55" s="3">
        <v>165</v>
      </c>
      <c r="E55" s="3">
        <v>116436</v>
      </c>
      <c r="F55" s="3">
        <v>8.2200000000000006</v>
      </c>
      <c r="G55" s="3">
        <v>25234</v>
      </c>
    </row>
    <row r="56" spans="1:7" ht="15.75" customHeight="1">
      <c r="A56" s="4">
        <v>45586</v>
      </c>
      <c r="B56" s="1" t="s">
        <v>24</v>
      </c>
      <c r="C56" s="3">
        <v>886</v>
      </c>
      <c r="D56" s="3">
        <v>124</v>
      </c>
      <c r="E56" s="3">
        <v>141161</v>
      </c>
      <c r="F56" s="3">
        <v>8.19</v>
      </c>
      <c r="G56" s="3">
        <v>14215</v>
      </c>
    </row>
    <row r="57" spans="1:7" ht="15.75" customHeight="1">
      <c r="A57" s="4">
        <v>45509</v>
      </c>
      <c r="B57" s="1" t="s">
        <v>24</v>
      </c>
      <c r="C57" s="3">
        <v>752</v>
      </c>
      <c r="D57" s="3">
        <v>170</v>
      </c>
      <c r="E57" s="3">
        <v>132756</v>
      </c>
      <c r="F57" s="3">
        <v>8.17</v>
      </c>
      <c r="G57" s="3">
        <v>23900</v>
      </c>
    </row>
    <row r="58" spans="1:7" ht="15.75" customHeight="1">
      <c r="A58" s="4">
        <v>45579</v>
      </c>
      <c r="B58" s="1" t="s">
        <v>24</v>
      </c>
      <c r="C58" s="3">
        <v>588</v>
      </c>
      <c r="D58" s="3">
        <v>52</v>
      </c>
      <c r="E58" s="3">
        <v>292040</v>
      </c>
      <c r="F58" s="3">
        <v>8.14</v>
      </c>
      <c r="G58" s="3">
        <v>9383</v>
      </c>
    </row>
    <row r="59" spans="1:7" ht="15.75" customHeight="1">
      <c r="A59" s="4">
        <v>45558</v>
      </c>
      <c r="B59" s="1" t="s">
        <v>31</v>
      </c>
      <c r="C59" s="3">
        <v>769</v>
      </c>
      <c r="D59" s="3">
        <v>295</v>
      </c>
      <c r="E59" s="3">
        <v>344771</v>
      </c>
      <c r="F59" s="3">
        <v>8.06</v>
      </c>
      <c r="G59" s="3">
        <v>23963</v>
      </c>
    </row>
    <row r="60" spans="1:7" ht="15.75" customHeight="1">
      <c r="A60" s="4">
        <v>45586</v>
      </c>
      <c r="B60" s="1" t="s">
        <v>14</v>
      </c>
      <c r="C60" s="3">
        <v>1190</v>
      </c>
      <c r="D60" s="3">
        <v>242</v>
      </c>
      <c r="E60" s="3">
        <v>86849</v>
      </c>
      <c r="F60" s="3">
        <v>8.06</v>
      </c>
      <c r="G60" s="3">
        <v>21254</v>
      </c>
    </row>
    <row r="61" spans="1:7" ht="15.75" customHeight="1">
      <c r="A61" s="2">
        <v>45446</v>
      </c>
      <c r="B61" s="1" t="s">
        <v>24</v>
      </c>
      <c r="C61" s="3">
        <v>995</v>
      </c>
      <c r="D61" s="3">
        <v>86</v>
      </c>
      <c r="E61" s="3">
        <v>227958</v>
      </c>
      <c r="F61" s="3">
        <v>8.0500000000000007</v>
      </c>
      <c r="G61" s="3">
        <v>22788</v>
      </c>
    </row>
    <row r="62" spans="1:7" ht="15.75" customHeight="1">
      <c r="A62" s="4">
        <v>45698</v>
      </c>
      <c r="B62" s="1" t="s">
        <v>24</v>
      </c>
      <c r="C62" s="3">
        <v>1270</v>
      </c>
      <c r="D62" s="3">
        <v>162</v>
      </c>
      <c r="E62" s="3">
        <v>92040</v>
      </c>
      <c r="F62" s="3">
        <v>8.0299999999999994</v>
      </c>
      <c r="G62" s="3">
        <v>6120</v>
      </c>
    </row>
    <row r="63" spans="1:7" ht="15.75" customHeight="1">
      <c r="A63" s="2">
        <v>45481</v>
      </c>
      <c r="B63" s="1" t="s">
        <v>31</v>
      </c>
      <c r="C63" s="3">
        <v>1253</v>
      </c>
      <c r="D63" s="3">
        <v>136</v>
      </c>
      <c r="E63" s="3">
        <v>193131</v>
      </c>
      <c r="F63" s="3">
        <v>7.99</v>
      </c>
      <c r="G63" s="3">
        <v>15924</v>
      </c>
    </row>
    <row r="64" spans="1:7" ht="15.75" customHeight="1">
      <c r="A64" s="4">
        <v>45852</v>
      </c>
      <c r="B64" s="1" t="s">
        <v>14</v>
      </c>
      <c r="C64" s="3">
        <v>1457</v>
      </c>
      <c r="D64" s="3">
        <v>183</v>
      </c>
      <c r="E64" s="3">
        <v>129640</v>
      </c>
      <c r="F64" s="3">
        <v>7.98</v>
      </c>
      <c r="G64" s="3">
        <v>12985</v>
      </c>
    </row>
    <row r="65" spans="1:7" ht="15.75" customHeight="1">
      <c r="A65" s="4">
        <v>45628</v>
      </c>
      <c r="B65" s="1" t="s">
        <v>31</v>
      </c>
      <c r="C65" s="3">
        <v>990</v>
      </c>
      <c r="D65" s="3">
        <v>286</v>
      </c>
      <c r="E65" s="3">
        <v>351493</v>
      </c>
      <c r="F65" s="3">
        <v>7.97</v>
      </c>
      <c r="G65" s="3">
        <v>14496</v>
      </c>
    </row>
    <row r="66" spans="1:7" ht="15.75" customHeight="1">
      <c r="A66" s="4">
        <v>45796</v>
      </c>
      <c r="B66" s="1" t="s">
        <v>14</v>
      </c>
      <c r="C66" s="3">
        <v>1073</v>
      </c>
      <c r="D66" s="3">
        <v>141</v>
      </c>
      <c r="E66" s="3">
        <v>118393</v>
      </c>
      <c r="F66" s="3">
        <v>7.95</v>
      </c>
      <c r="G66" s="3">
        <v>14051</v>
      </c>
    </row>
    <row r="67" spans="1:7" ht="15.75" customHeight="1">
      <c r="A67" s="4">
        <v>45726</v>
      </c>
      <c r="B67" s="1" t="s">
        <v>14</v>
      </c>
      <c r="C67" s="3">
        <v>631</v>
      </c>
      <c r="D67" s="3">
        <v>86</v>
      </c>
      <c r="E67" s="3">
        <v>295090</v>
      </c>
      <c r="F67" s="3">
        <v>7.89</v>
      </c>
      <c r="G67" s="3">
        <v>11911</v>
      </c>
    </row>
    <row r="68" spans="1:7" ht="15.75" customHeight="1">
      <c r="A68" s="4">
        <v>45698</v>
      </c>
      <c r="B68" s="1" t="s">
        <v>31</v>
      </c>
      <c r="C68" s="3">
        <v>536</v>
      </c>
      <c r="D68" s="3">
        <v>198</v>
      </c>
      <c r="E68" s="3">
        <v>174610</v>
      </c>
      <c r="F68" s="3">
        <v>7.85</v>
      </c>
      <c r="G68" s="3">
        <v>20572</v>
      </c>
    </row>
    <row r="69" spans="1:7" ht="15.75" customHeight="1">
      <c r="A69" s="4">
        <v>45747</v>
      </c>
      <c r="B69" s="1" t="s">
        <v>14</v>
      </c>
      <c r="C69" s="3">
        <v>591</v>
      </c>
      <c r="D69" s="3">
        <v>155</v>
      </c>
      <c r="E69" s="3">
        <v>138521</v>
      </c>
      <c r="F69" s="3">
        <v>7.85</v>
      </c>
      <c r="G69" s="3">
        <v>19054</v>
      </c>
    </row>
    <row r="70" spans="1:7" ht="15.75" customHeight="1">
      <c r="A70" s="4">
        <v>45544</v>
      </c>
      <c r="B70" s="1" t="s">
        <v>31</v>
      </c>
      <c r="C70" s="3">
        <v>854</v>
      </c>
      <c r="D70" s="3">
        <v>129</v>
      </c>
      <c r="E70" s="3">
        <v>310903</v>
      </c>
      <c r="F70" s="3">
        <v>7.83</v>
      </c>
      <c r="G70" s="3">
        <v>16875</v>
      </c>
    </row>
    <row r="71" spans="1:7" ht="15.75" customHeight="1">
      <c r="A71" s="4">
        <v>45663</v>
      </c>
      <c r="B71" s="1" t="s">
        <v>24</v>
      </c>
      <c r="C71" s="3">
        <v>1340</v>
      </c>
      <c r="D71" s="3">
        <v>57</v>
      </c>
      <c r="E71" s="3">
        <v>155927</v>
      </c>
      <c r="F71" s="3">
        <v>7.79</v>
      </c>
      <c r="G71" s="3">
        <v>11972</v>
      </c>
    </row>
    <row r="72" spans="1:7" ht="15.75" customHeight="1">
      <c r="A72" s="4">
        <v>45866</v>
      </c>
      <c r="B72" s="1" t="s">
        <v>31</v>
      </c>
      <c r="C72" s="3">
        <v>1490</v>
      </c>
      <c r="D72" s="3">
        <v>103</v>
      </c>
      <c r="E72" s="3">
        <v>81184</v>
      </c>
      <c r="F72" s="3">
        <v>7.79</v>
      </c>
      <c r="G72" s="3">
        <v>10681</v>
      </c>
    </row>
    <row r="73" spans="1:7" ht="15.75" customHeight="1">
      <c r="A73" s="4">
        <v>45768</v>
      </c>
      <c r="B73" s="1" t="s">
        <v>24</v>
      </c>
      <c r="C73" s="3">
        <v>747</v>
      </c>
      <c r="D73" s="3">
        <v>261</v>
      </c>
      <c r="E73" s="3">
        <v>338650</v>
      </c>
      <c r="F73" s="3">
        <v>7.73</v>
      </c>
      <c r="G73" s="3">
        <v>25259</v>
      </c>
    </row>
    <row r="74" spans="1:7" ht="15.75" customHeight="1">
      <c r="A74" s="2">
        <v>45446</v>
      </c>
      <c r="B74" s="1" t="s">
        <v>31</v>
      </c>
      <c r="C74" s="3">
        <v>1472</v>
      </c>
      <c r="D74" s="3">
        <v>296</v>
      </c>
      <c r="E74" s="3">
        <v>370242</v>
      </c>
      <c r="F74" s="3">
        <v>7.72</v>
      </c>
      <c r="G74" s="3">
        <v>7810</v>
      </c>
    </row>
    <row r="75" spans="1:7" ht="15.75" customHeight="1">
      <c r="A75" s="4">
        <v>45719</v>
      </c>
      <c r="B75" s="1" t="s">
        <v>24</v>
      </c>
      <c r="C75" s="3">
        <v>1234</v>
      </c>
      <c r="D75" s="3">
        <v>228</v>
      </c>
      <c r="E75" s="3">
        <v>127502</v>
      </c>
      <c r="F75" s="3">
        <v>7.71</v>
      </c>
      <c r="G75" s="3">
        <v>6772</v>
      </c>
    </row>
    <row r="76" spans="1:7" ht="15.75" customHeight="1">
      <c r="A76" s="4">
        <v>45880</v>
      </c>
      <c r="B76" s="1" t="s">
        <v>31</v>
      </c>
      <c r="C76" s="3">
        <v>1007</v>
      </c>
      <c r="D76" s="3">
        <v>258</v>
      </c>
      <c r="E76" s="3">
        <v>113412</v>
      </c>
      <c r="F76" s="3">
        <v>7.71</v>
      </c>
      <c r="G76" s="3">
        <v>14475</v>
      </c>
    </row>
    <row r="77" spans="1:7" ht="15.75" customHeight="1">
      <c r="A77" s="4">
        <v>45537</v>
      </c>
      <c r="B77" s="1" t="s">
        <v>31</v>
      </c>
      <c r="C77" s="3">
        <v>1096</v>
      </c>
      <c r="D77" s="3">
        <v>65</v>
      </c>
      <c r="E77" s="3">
        <v>358295</v>
      </c>
      <c r="F77" s="3">
        <v>7.66</v>
      </c>
      <c r="G77" s="3">
        <v>24548</v>
      </c>
    </row>
    <row r="78" spans="1:7" ht="15.75" customHeight="1">
      <c r="A78" s="4">
        <v>45803</v>
      </c>
      <c r="B78" s="1" t="s">
        <v>24</v>
      </c>
      <c r="C78" s="3">
        <v>1389</v>
      </c>
      <c r="D78" s="3">
        <v>205</v>
      </c>
      <c r="E78" s="3">
        <v>315981</v>
      </c>
      <c r="F78" s="3">
        <v>7.62</v>
      </c>
      <c r="G78" s="3">
        <v>20595</v>
      </c>
    </row>
    <row r="79" spans="1:7" ht="15.75" customHeight="1">
      <c r="A79" s="4">
        <v>45607</v>
      </c>
      <c r="B79" s="1" t="s">
        <v>24</v>
      </c>
      <c r="C79" s="3">
        <v>655</v>
      </c>
      <c r="D79" s="3">
        <v>123</v>
      </c>
      <c r="E79" s="3">
        <v>202472</v>
      </c>
      <c r="F79" s="3">
        <v>7.56</v>
      </c>
      <c r="G79" s="3">
        <v>9092</v>
      </c>
    </row>
    <row r="80" spans="1:7" ht="15.75" customHeight="1">
      <c r="A80" s="4">
        <v>45831</v>
      </c>
      <c r="B80" s="1" t="s">
        <v>24</v>
      </c>
      <c r="C80" s="3">
        <v>668</v>
      </c>
      <c r="D80" s="3">
        <v>124</v>
      </c>
      <c r="E80" s="3">
        <v>257485</v>
      </c>
      <c r="F80" s="3">
        <v>7.55</v>
      </c>
      <c r="G80" s="3">
        <v>26730</v>
      </c>
    </row>
    <row r="81" spans="1:7" ht="15.75" customHeight="1">
      <c r="A81" s="4">
        <v>45530</v>
      </c>
      <c r="B81" s="1" t="s">
        <v>14</v>
      </c>
      <c r="C81" s="3">
        <v>1154</v>
      </c>
      <c r="D81" s="3">
        <v>132</v>
      </c>
      <c r="E81" s="3">
        <v>194595</v>
      </c>
      <c r="F81" s="3">
        <v>7.54</v>
      </c>
      <c r="G81" s="3">
        <v>26624</v>
      </c>
    </row>
    <row r="82" spans="1:7" ht="15.75" customHeight="1">
      <c r="A82" s="4">
        <v>45537</v>
      </c>
      <c r="B82" s="1" t="s">
        <v>24</v>
      </c>
      <c r="C82" s="3">
        <v>1098</v>
      </c>
      <c r="D82" s="3">
        <v>142</v>
      </c>
      <c r="E82" s="3">
        <v>359150</v>
      </c>
      <c r="F82" s="3">
        <v>7.51</v>
      </c>
      <c r="G82" s="3">
        <v>16385</v>
      </c>
    </row>
    <row r="83" spans="1:7" ht="15.75" customHeight="1">
      <c r="A83" s="4">
        <v>45516</v>
      </c>
      <c r="B83" s="1" t="s">
        <v>24</v>
      </c>
      <c r="C83" s="3">
        <v>1456</v>
      </c>
      <c r="D83" s="3">
        <v>265</v>
      </c>
      <c r="E83" s="3">
        <v>115505</v>
      </c>
      <c r="F83" s="3">
        <v>7.49</v>
      </c>
      <c r="G83" s="3">
        <v>10311</v>
      </c>
    </row>
    <row r="84" spans="1:7" ht="15.75" customHeight="1">
      <c r="A84" s="4">
        <v>45803</v>
      </c>
      <c r="B84" s="1" t="s">
        <v>31</v>
      </c>
      <c r="C84" s="3">
        <v>826</v>
      </c>
      <c r="D84" s="3">
        <v>142</v>
      </c>
      <c r="E84" s="3">
        <v>341016</v>
      </c>
      <c r="F84" s="3">
        <v>7.44</v>
      </c>
      <c r="G84" s="3">
        <v>12031</v>
      </c>
    </row>
    <row r="85" spans="1:7" ht="15.75" customHeight="1">
      <c r="A85" s="4">
        <v>45768</v>
      </c>
      <c r="B85" s="1" t="s">
        <v>14</v>
      </c>
      <c r="C85" s="3">
        <v>585</v>
      </c>
      <c r="D85" s="3">
        <v>232</v>
      </c>
      <c r="E85" s="3">
        <v>321258</v>
      </c>
      <c r="F85" s="3">
        <v>7.42</v>
      </c>
      <c r="G85" s="3">
        <v>10343</v>
      </c>
    </row>
    <row r="86" spans="1:7" ht="15.75" customHeight="1">
      <c r="A86" s="4">
        <v>45719</v>
      </c>
      <c r="B86" s="1" t="s">
        <v>31</v>
      </c>
      <c r="C86" s="3">
        <v>665</v>
      </c>
      <c r="D86" s="3">
        <v>187</v>
      </c>
      <c r="E86" s="3">
        <v>274567</v>
      </c>
      <c r="F86" s="3">
        <v>7.39</v>
      </c>
      <c r="G86" s="3">
        <v>22428</v>
      </c>
    </row>
    <row r="87" spans="1:7" ht="15.75" customHeight="1">
      <c r="A87" s="4">
        <v>45579</v>
      </c>
      <c r="B87" s="1" t="s">
        <v>14</v>
      </c>
      <c r="C87" s="3">
        <v>1161</v>
      </c>
      <c r="D87" s="3">
        <v>269</v>
      </c>
      <c r="E87" s="3">
        <v>188193</v>
      </c>
      <c r="F87" s="3">
        <v>7.34</v>
      </c>
      <c r="G87" s="3">
        <v>18576</v>
      </c>
    </row>
    <row r="88" spans="1:7" ht="15.75" customHeight="1">
      <c r="A88" s="4">
        <v>45754</v>
      </c>
      <c r="B88" s="1" t="s">
        <v>24</v>
      </c>
      <c r="C88" s="3">
        <v>1222</v>
      </c>
      <c r="D88" s="3">
        <v>208</v>
      </c>
      <c r="E88" s="3">
        <v>340098</v>
      </c>
      <c r="F88" s="3">
        <v>7.34</v>
      </c>
      <c r="G88" s="3">
        <v>21771</v>
      </c>
    </row>
    <row r="89" spans="1:7" ht="15.75" customHeight="1">
      <c r="A89" s="4">
        <v>45691</v>
      </c>
      <c r="B89" s="1" t="s">
        <v>14</v>
      </c>
      <c r="C89" s="3">
        <v>795</v>
      </c>
      <c r="D89" s="3">
        <v>60</v>
      </c>
      <c r="E89" s="3">
        <v>314982</v>
      </c>
      <c r="F89" s="3">
        <v>7.31</v>
      </c>
      <c r="G89" s="3">
        <v>6824</v>
      </c>
    </row>
    <row r="90" spans="1:7" ht="15.75" customHeight="1">
      <c r="A90" s="4">
        <v>45607</v>
      </c>
      <c r="B90" s="1" t="s">
        <v>31</v>
      </c>
      <c r="C90" s="3">
        <v>1148</v>
      </c>
      <c r="D90" s="3">
        <v>90</v>
      </c>
      <c r="E90" s="3">
        <v>227249</v>
      </c>
      <c r="F90" s="3">
        <v>7.24</v>
      </c>
      <c r="G90" s="3">
        <v>17662</v>
      </c>
    </row>
    <row r="91" spans="1:7" ht="15.75" customHeight="1">
      <c r="A91" s="4">
        <v>45761</v>
      </c>
      <c r="B91" s="1" t="s">
        <v>31</v>
      </c>
      <c r="C91" s="3">
        <v>1472</v>
      </c>
      <c r="D91" s="3">
        <v>281</v>
      </c>
      <c r="E91" s="3">
        <v>258115</v>
      </c>
      <c r="F91" s="3">
        <v>7.23</v>
      </c>
      <c r="G91" s="3">
        <v>27393</v>
      </c>
    </row>
    <row r="92" spans="1:7" ht="15.75" customHeight="1">
      <c r="A92" s="4">
        <v>45530</v>
      </c>
      <c r="B92" s="1" t="s">
        <v>31</v>
      </c>
      <c r="C92" s="3">
        <v>1456</v>
      </c>
      <c r="D92" s="3">
        <v>290</v>
      </c>
      <c r="E92" s="3">
        <v>271044</v>
      </c>
      <c r="F92" s="3">
        <v>7.17</v>
      </c>
      <c r="G92" s="3">
        <v>13051</v>
      </c>
    </row>
    <row r="93" spans="1:7" ht="15.75" customHeight="1">
      <c r="A93" s="4">
        <v>45705</v>
      </c>
      <c r="B93" s="1" t="s">
        <v>24</v>
      </c>
      <c r="C93" s="3">
        <v>681</v>
      </c>
      <c r="D93" s="3">
        <v>218</v>
      </c>
      <c r="E93" s="3">
        <v>198882</v>
      </c>
      <c r="F93" s="3">
        <v>7.16</v>
      </c>
      <c r="G93" s="3">
        <v>22234</v>
      </c>
    </row>
    <row r="94" spans="1:7" ht="15.75" customHeight="1">
      <c r="A94" s="4">
        <v>45467</v>
      </c>
      <c r="B94" s="1" t="s">
        <v>24</v>
      </c>
      <c r="C94" s="3">
        <v>1371</v>
      </c>
      <c r="D94" s="3">
        <v>250</v>
      </c>
      <c r="E94" s="3">
        <v>128620</v>
      </c>
      <c r="F94" s="3">
        <v>7.11</v>
      </c>
      <c r="G94" s="3">
        <v>12399</v>
      </c>
    </row>
    <row r="95" spans="1:7" ht="15.75" customHeight="1">
      <c r="A95" s="4">
        <v>45705</v>
      </c>
      <c r="B95" s="1" t="s">
        <v>31</v>
      </c>
      <c r="C95" s="3">
        <v>646</v>
      </c>
      <c r="D95" s="3">
        <v>290</v>
      </c>
      <c r="E95" s="3">
        <v>336383</v>
      </c>
      <c r="F95" s="3">
        <v>7.04</v>
      </c>
      <c r="G95" s="3">
        <v>6532</v>
      </c>
    </row>
    <row r="96" spans="1:7" ht="15.75" customHeight="1">
      <c r="A96" s="4">
        <v>45761</v>
      </c>
      <c r="B96" s="1" t="s">
        <v>24</v>
      </c>
      <c r="C96" s="3">
        <v>1472</v>
      </c>
      <c r="D96" s="3">
        <v>137</v>
      </c>
      <c r="E96" s="3">
        <v>213950</v>
      </c>
      <c r="F96" s="3">
        <v>6.96</v>
      </c>
      <c r="G96" s="3">
        <v>23736</v>
      </c>
    </row>
    <row r="97" spans="1:7" ht="15.75" customHeight="1">
      <c r="A97" s="4">
        <v>45810</v>
      </c>
      <c r="B97" s="1" t="s">
        <v>24</v>
      </c>
      <c r="C97" s="3">
        <v>1419</v>
      </c>
      <c r="D97" s="3">
        <v>293</v>
      </c>
      <c r="E97" s="3">
        <v>116632</v>
      </c>
      <c r="F97" s="3">
        <v>6.93</v>
      </c>
      <c r="G97" s="3">
        <v>11826</v>
      </c>
    </row>
    <row r="98" spans="1:7" ht="15.75" customHeight="1">
      <c r="A98" s="4">
        <v>45754</v>
      </c>
      <c r="B98" s="1" t="s">
        <v>31</v>
      </c>
      <c r="C98" s="3">
        <v>1071</v>
      </c>
      <c r="D98" s="3">
        <v>131</v>
      </c>
      <c r="E98" s="3">
        <v>254727</v>
      </c>
      <c r="F98" s="3">
        <v>6.87</v>
      </c>
      <c r="G98" s="3">
        <v>22191</v>
      </c>
    </row>
    <row r="99" spans="1:7" ht="15.75" customHeight="1">
      <c r="A99" s="4">
        <v>45712</v>
      </c>
      <c r="B99" s="1" t="s">
        <v>31</v>
      </c>
      <c r="C99" s="3">
        <v>978</v>
      </c>
      <c r="D99" s="3">
        <v>279</v>
      </c>
      <c r="E99" s="3">
        <v>368872</v>
      </c>
      <c r="F99" s="3">
        <v>6.82</v>
      </c>
      <c r="G99" s="3">
        <v>18654</v>
      </c>
    </row>
    <row r="100" spans="1:7" ht="15.75" customHeight="1">
      <c r="A100" s="4">
        <v>45726</v>
      </c>
      <c r="B100" s="1" t="s">
        <v>31</v>
      </c>
      <c r="C100" s="3">
        <v>950</v>
      </c>
      <c r="D100" s="3">
        <v>185</v>
      </c>
      <c r="E100" s="3">
        <v>340750</v>
      </c>
      <c r="F100" s="3">
        <v>6.77</v>
      </c>
      <c r="G100" s="3">
        <v>25542</v>
      </c>
    </row>
    <row r="101" spans="1:7" ht="15.75" customHeight="1">
      <c r="A101" s="4">
        <v>45859</v>
      </c>
      <c r="B101" s="1" t="s">
        <v>14</v>
      </c>
      <c r="C101" s="3">
        <v>1197</v>
      </c>
      <c r="D101" s="3">
        <v>246</v>
      </c>
      <c r="E101" s="3">
        <v>127273</v>
      </c>
      <c r="F101" s="3">
        <v>6.69</v>
      </c>
      <c r="G101" s="3">
        <v>12323</v>
      </c>
    </row>
    <row r="102" spans="1:7" ht="15.75" customHeight="1">
      <c r="A102" s="4">
        <v>45628</v>
      </c>
      <c r="B102" s="1" t="s">
        <v>14</v>
      </c>
      <c r="C102" s="3">
        <v>895</v>
      </c>
      <c r="D102" s="3">
        <v>87</v>
      </c>
      <c r="E102" s="3">
        <v>171271</v>
      </c>
      <c r="F102" s="3">
        <v>6.68</v>
      </c>
      <c r="G102" s="3">
        <v>23329</v>
      </c>
    </row>
    <row r="103" spans="1:7" ht="15.75" customHeight="1">
      <c r="A103" s="4">
        <v>45747</v>
      </c>
      <c r="B103" s="1" t="s">
        <v>31</v>
      </c>
      <c r="C103" s="3">
        <v>1425</v>
      </c>
      <c r="D103" s="3">
        <v>58</v>
      </c>
      <c r="E103" s="3">
        <v>202234</v>
      </c>
      <c r="F103" s="3">
        <v>6.67</v>
      </c>
      <c r="G103" s="3">
        <v>18442</v>
      </c>
    </row>
    <row r="104" spans="1:7" ht="15.75" customHeight="1">
      <c r="A104" s="4">
        <v>45796</v>
      </c>
      <c r="B104" s="1" t="s">
        <v>24</v>
      </c>
      <c r="C104" s="3">
        <v>1430</v>
      </c>
      <c r="D104" s="3">
        <v>74</v>
      </c>
      <c r="E104" s="3">
        <v>327012</v>
      </c>
      <c r="F104" s="3">
        <v>6.66</v>
      </c>
      <c r="G104" s="3">
        <v>27782</v>
      </c>
    </row>
    <row r="105" spans="1:7" ht="15.75" customHeight="1">
      <c r="A105" s="4">
        <v>45614</v>
      </c>
      <c r="B105" s="1" t="s">
        <v>24</v>
      </c>
      <c r="C105" s="3">
        <v>791</v>
      </c>
      <c r="D105" s="3">
        <v>214</v>
      </c>
      <c r="E105" s="3">
        <v>114738</v>
      </c>
      <c r="F105" s="3">
        <v>6.62</v>
      </c>
      <c r="G105" s="3">
        <v>25347</v>
      </c>
    </row>
    <row r="106" spans="1:7" ht="15.75" customHeight="1">
      <c r="A106" s="4">
        <v>45789</v>
      </c>
      <c r="B106" s="1" t="s">
        <v>14</v>
      </c>
      <c r="C106" s="3">
        <v>837</v>
      </c>
      <c r="D106" s="3">
        <v>261</v>
      </c>
      <c r="E106" s="3">
        <v>366149</v>
      </c>
      <c r="F106" s="3">
        <v>6.54</v>
      </c>
      <c r="G106" s="3">
        <v>26073</v>
      </c>
    </row>
    <row r="107" spans="1:7" ht="15.75" customHeight="1">
      <c r="A107" s="4">
        <v>45894</v>
      </c>
      <c r="B107" s="1" t="s">
        <v>24</v>
      </c>
      <c r="C107" s="3">
        <v>1413</v>
      </c>
      <c r="D107" s="3">
        <v>245</v>
      </c>
      <c r="E107" s="3">
        <v>296450</v>
      </c>
      <c r="F107" s="3">
        <v>6.52</v>
      </c>
      <c r="G107" s="3">
        <v>11625</v>
      </c>
    </row>
    <row r="108" spans="1:7" ht="15.75" customHeight="1">
      <c r="A108" s="4">
        <v>45635</v>
      </c>
      <c r="B108" s="1" t="s">
        <v>24</v>
      </c>
      <c r="C108" s="3">
        <v>599</v>
      </c>
      <c r="D108" s="3">
        <v>194</v>
      </c>
      <c r="E108" s="3">
        <v>105622</v>
      </c>
      <c r="F108" s="3">
        <v>6.44</v>
      </c>
      <c r="G108" s="3">
        <v>15108</v>
      </c>
    </row>
    <row r="109" spans="1:7" ht="15.75" customHeight="1">
      <c r="A109" s="4">
        <v>45782</v>
      </c>
      <c r="B109" s="1" t="s">
        <v>14</v>
      </c>
      <c r="C109" s="3">
        <v>1146</v>
      </c>
      <c r="D109" s="3">
        <v>227</v>
      </c>
      <c r="E109" s="3">
        <v>353781</v>
      </c>
      <c r="F109" s="3">
        <v>6.41</v>
      </c>
      <c r="G109" s="3">
        <v>5495</v>
      </c>
    </row>
    <row r="110" spans="1:7" ht="15.75" customHeight="1">
      <c r="A110" s="4">
        <v>45726</v>
      </c>
      <c r="B110" s="1" t="s">
        <v>24</v>
      </c>
      <c r="C110" s="3">
        <v>1159</v>
      </c>
      <c r="D110" s="3">
        <v>154</v>
      </c>
      <c r="E110" s="3">
        <v>194994</v>
      </c>
      <c r="F110" s="3">
        <v>6.39</v>
      </c>
      <c r="G110" s="3">
        <v>21900</v>
      </c>
    </row>
    <row r="111" spans="1:7" ht="15.75" customHeight="1">
      <c r="A111" s="4">
        <v>45614</v>
      </c>
      <c r="B111" s="1" t="s">
        <v>31</v>
      </c>
      <c r="C111" s="3">
        <v>793</v>
      </c>
      <c r="D111" s="3">
        <v>111</v>
      </c>
      <c r="E111" s="3">
        <v>333500</v>
      </c>
      <c r="F111" s="3">
        <v>6.36</v>
      </c>
      <c r="G111" s="3">
        <v>8910</v>
      </c>
    </row>
    <row r="112" spans="1:7" ht="15.75" customHeight="1">
      <c r="A112" s="4">
        <v>45488</v>
      </c>
      <c r="B112" s="1" t="s">
        <v>14</v>
      </c>
      <c r="C112" s="3">
        <v>616</v>
      </c>
      <c r="D112" s="3">
        <v>257</v>
      </c>
      <c r="E112" s="3">
        <v>169665</v>
      </c>
      <c r="F112" s="3">
        <v>6.31</v>
      </c>
      <c r="G112" s="3">
        <v>12390</v>
      </c>
    </row>
    <row r="113" spans="1:7" ht="15.75" customHeight="1">
      <c r="A113" s="4">
        <v>45670</v>
      </c>
      <c r="B113" s="1" t="s">
        <v>31</v>
      </c>
      <c r="C113" s="3">
        <v>685</v>
      </c>
      <c r="D113" s="3">
        <v>165</v>
      </c>
      <c r="E113" s="3">
        <v>175860</v>
      </c>
      <c r="F113" s="3">
        <v>6.26</v>
      </c>
      <c r="G113" s="3">
        <v>6027</v>
      </c>
    </row>
    <row r="114" spans="1:7" ht="15.75" customHeight="1">
      <c r="A114" s="4">
        <v>45572</v>
      </c>
      <c r="B114" s="1" t="s">
        <v>14</v>
      </c>
      <c r="C114" s="3">
        <v>764</v>
      </c>
      <c r="D114" s="3">
        <v>205</v>
      </c>
      <c r="E114" s="3">
        <v>319294</v>
      </c>
      <c r="F114" s="3">
        <v>6.23</v>
      </c>
      <c r="G114" s="3">
        <v>12181</v>
      </c>
    </row>
    <row r="115" spans="1:7" ht="15.75" customHeight="1">
      <c r="A115" s="4">
        <v>45824</v>
      </c>
      <c r="B115" s="1" t="s">
        <v>14</v>
      </c>
      <c r="C115" s="3">
        <v>765</v>
      </c>
      <c r="D115" s="3">
        <v>67</v>
      </c>
      <c r="E115" s="3">
        <v>283537</v>
      </c>
      <c r="F115" s="3">
        <v>6.18</v>
      </c>
      <c r="G115" s="3">
        <v>8182</v>
      </c>
    </row>
    <row r="116" spans="1:7" ht="15.75" customHeight="1">
      <c r="A116" s="4">
        <v>45754</v>
      </c>
      <c r="B116" s="1" t="s">
        <v>14</v>
      </c>
      <c r="C116" s="3">
        <v>1417</v>
      </c>
      <c r="D116" s="3">
        <v>80</v>
      </c>
      <c r="E116" s="3">
        <v>340987</v>
      </c>
      <c r="F116" s="3">
        <v>6.13</v>
      </c>
      <c r="G116" s="3">
        <v>10104</v>
      </c>
    </row>
    <row r="117" spans="1:7" ht="15.75" customHeight="1">
      <c r="A117" s="4">
        <v>45705</v>
      </c>
      <c r="B117" s="1" t="s">
        <v>14</v>
      </c>
      <c r="C117" s="3">
        <v>819</v>
      </c>
      <c r="D117" s="3">
        <v>95</v>
      </c>
      <c r="E117" s="3">
        <v>177376</v>
      </c>
      <c r="F117" s="3">
        <v>6.12</v>
      </c>
      <c r="G117" s="3">
        <v>14975</v>
      </c>
    </row>
    <row r="118" spans="1:7" ht="15.75" customHeight="1">
      <c r="A118" s="4">
        <v>45894</v>
      </c>
      <c r="B118" s="1" t="s">
        <v>14</v>
      </c>
      <c r="C118" s="3">
        <v>1183</v>
      </c>
      <c r="D118" s="3">
        <v>223</v>
      </c>
      <c r="E118" s="3">
        <v>143811</v>
      </c>
      <c r="F118" s="3">
        <v>6.07</v>
      </c>
      <c r="G118" s="3">
        <v>22103</v>
      </c>
    </row>
    <row r="119" spans="1:7" ht="15.75" customHeight="1">
      <c r="A119" s="4">
        <v>45663</v>
      </c>
      <c r="B119" s="1" t="s">
        <v>14</v>
      </c>
      <c r="C119" s="3">
        <v>613</v>
      </c>
      <c r="D119" s="3">
        <v>170</v>
      </c>
      <c r="E119" s="3">
        <v>139266</v>
      </c>
      <c r="F119" s="3">
        <v>6.06</v>
      </c>
      <c r="G119" s="3">
        <v>9247</v>
      </c>
    </row>
    <row r="120" spans="1:7" ht="15.75" customHeight="1">
      <c r="A120" s="4">
        <v>45523</v>
      </c>
      <c r="B120" s="1" t="s">
        <v>31</v>
      </c>
      <c r="C120" s="3">
        <v>1240</v>
      </c>
      <c r="D120" s="3">
        <v>231</v>
      </c>
      <c r="E120" s="3">
        <v>165035</v>
      </c>
      <c r="F120" s="3">
        <v>6.05</v>
      </c>
      <c r="G120" s="3">
        <v>18267</v>
      </c>
    </row>
    <row r="121" spans="1:7" ht="15.75" customHeight="1">
      <c r="A121" s="4">
        <v>45537</v>
      </c>
      <c r="B121" s="1" t="s">
        <v>14</v>
      </c>
      <c r="C121" s="3">
        <v>721</v>
      </c>
      <c r="D121" s="3">
        <v>206</v>
      </c>
      <c r="E121" s="3">
        <v>334887</v>
      </c>
      <c r="F121" s="3">
        <v>6.05</v>
      </c>
      <c r="G121" s="3">
        <v>14217</v>
      </c>
    </row>
    <row r="122" spans="1:7" ht="15.75" customHeight="1">
      <c r="A122" s="4">
        <v>45782</v>
      </c>
      <c r="B122" s="1" t="s">
        <v>24</v>
      </c>
      <c r="C122" s="3">
        <v>883</v>
      </c>
      <c r="D122" s="3">
        <v>207</v>
      </c>
      <c r="E122" s="3">
        <v>265019</v>
      </c>
      <c r="F122" s="3">
        <v>6.04</v>
      </c>
      <c r="G122" s="3">
        <v>15655</v>
      </c>
    </row>
    <row r="123" spans="1:7" ht="15.75" customHeight="1">
      <c r="A123" s="4">
        <v>45544</v>
      </c>
      <c r="B123" s="1" t="s">
        <v>14</v>
      </c>
      <c r="C123" s="3">
        <v>912</v>
      </c>
      <c r="D123" s="3">
        <v>275</v>
      </c>
      <c r="E123" s="3">
        <v>368454</v>
      </c>
      <c r="F123" s="3">
        <v>6.03</v>
      </c>
      <c r="G123" s="3">
        <v>9195</v>
      </c>
    </row>
    <row r="124" spans="1:7" ht="15.75" customHeight="1">
      <c r="A124" s="4">
        <v>45649</v>
      </c>
      <c r="B124" s="1" t="s">
        <v>24</v>
      </c>
      <c r="C124" s="3">
        <v>1360</v>
      </c>
      <c r="D124" s="3">
        <v>227</v>
      </c>
      <c r="E124" s="3">
        <v>176902</v>
      </c>
      <c r="F124" s="3">
        <v>6.03</v>
      </c>
      <c r="G124" s="3">
        <v>5960</v>
      </c>
    </row>
    <row r="125" spans="1:7" ht="15.75" customHeight="1">
      <c r="A125" s="4">
        <v>45677</v>
      </c>
      <c r="B125" s="1" t="s">
        <v>31</v>
      </c>
      <c r="C125" s="3">
        <v>1105</v>
      </c>
      <c r="D125" s="3">
        <v>261</v>
      </c>
      <c r="E125" s="3">
        <v>333851</v>
      </c>
      <c r="F125" s="3">
        <v>6.03</v>
      </c>
      <c r="G125" s="3">
        <v>11181</v>
      </c>
    </row>
    <row r="126" spans="1:7" ht="15.75" customHeight="1">
      <c r="A126" s="4">
        <v>45824</v>
      </c>
      <c r="B126" s="1" t="s">
        <v>31</v>
      </c>
      <c r="C126" s="3">
        <v>1145</v>
      </c>
      <c r="D126" s="3">
        <v>151</v>
      </c>
      <c r="E126" s="3">
        <v>182759</v>
      </c>
      <c r="F126" s="3">
        <v>5.99</v>
      </c>
      <c r="G126" s="3">
        <v>20109</v>
      </c>
    </row>
    <row r="127" spans="1:7" ht="15.75" customHeight="1">
      <c r="A127" s="4">
        <v>45516</v>
      </c>
      <c r="B127" s="1" t="s">
        <v>14</v>
      </c>
      <c r="C127" s="3">
        <v>1060</v>
      </c>
      <c r="D127" s="3">
        <v>83</v>
      </c>
      <c r="E127" s="3">
        <v>68724</v>
      </c>
      <c r="F127" s="3">
        <v>5.98</v>
      </c>
      <c r="G127" s="3">
        <v>5624</v>
      </c>
    </row>
    <row r="128" spans="1:7" ht="15.75" customHeight="1">
      <c r="A128" s="4">
        <v>45838</v>
      </c>
      <c r="B128" s="1" t="s">
        <v>31</v>
      </c>
      <c r="C128" s="3">
        <v>693</v>
      </c>
      <c r="D128" s="3">
        <v>97</v>
      </c>
      <c r="E128" s="3">
        <v>92025</v>
      </c>
      <c r="F128" s="3">
        <v>5.95</v>
      </c>
      <c r="G128" s="3">
        <v>15915</v>
      </c>
    </row>
    <row r="129" spans="1:7" ht="15.75" customHeight="1">
      <c r="A129" s="4">
        <v>45530</v>
      </c>
      <c r="B129" s="1" t="s">
        <v>24</v>
      </c>
      <c r="C129" s="3">
        <v>537</v>
      </c>
      <c r="D129" s="3">
        <v>275</v>
      </c>
      <c r="E129" s="3">
        <v>236238</v>
      </c>
      <c r="F129" s="3">
        <v>5.87</v>
      </c>
      <c r="G129" s="3">
        <v>26644</v>
      </c>
    </row>
    <row r="130" spans="1:7" ht="15.75" customHeight="1">
      <c r="A130" s="4">
        <v>45523</v>
      </c>
      <c r="B130" s="1" t="s">
        <v>14</v>
      </c>
      <c r="C130" s="3">
        <v>1002</v>
      </c>
      <c r="D130" s="3">
        <v>93</v>
      </c>
      <c r="E130" s="3">
        <v>353538</v>
      </c>
      <c r="F130" s="3">
        <v>5.84</v>
      </c>
      <c r="G130" s="3">
        <v>6031</v>
      </c>
    </row>
    <row r="131" spans="1:7" ht="15.75" customHeight="1">
      <c r="A131" s="4">
        <v>45502</v>
      </c>
      <c r="B131" s="1" t="s">
        <v>24</v>
      </c>
      <c r="C131" s="3">
        <v>611</v>
      </c>
      <c r="D131" s="3">
        <v>197</v>
      </c>
      <c r="E131" s="3">
        <v>79423</v>
      </c>
      <c r="F131" s="3">
        <v>5.82</v>
      </c>
      <c r="G131" s="3">
        <v>13644</v>
      </c>
    </row>
    <row r="132" spans="1:7" ht="15.75" customHeight="1">
      <c r="A132" s="4">
        <v>45495</v>
      </c>
      <c r="B132" s="1" t="s">
        <v>24</v>
      </c>
      <c r="C132" s="3">
        <v>547</v>
      </c>
      <c r="D132" s="3">
        <v>183</v>
      </c>
      <c r="E132" s="3">
        <v>266350</v>
      </c>
      <c r="F132" s="3">
        <v>5.65</v>
      </c>
      <c r="G132" s="3">
        <v>15595</v>
      </c>
    </row>
    <row r="133" spans="1:7" ht="15.75" customHeight="1">
      <c r="A133" s="4">
        <v>45831</v>
      </c>
      <c r="B133" s="1" t="s">
        <v>31</v>
      </c>
      <c r="C133" s="3">
        <v>761</v>
      </c>
      <c r="D133" s="3">
        <v>241</v>
      </c>
      <c r="E133" s="3">
        <v>154977</v>
      </c>
      <c r="F133" s="3">
        <v>5.63</v>
      </c>
      <c r="G133" s="3">
        <v>10563</v>
      </c>
    </row>
    <row r="134" spans="1:7" ht="15.75" customHeight="1">
      <c r="A134" s="4">
        <v>45558</v>
      </c>
      <c r="B134" s="1" t="s">
        <v>24</v>
      </c>
      <c r="C134" s="3">
        <v>1437</v>
      </c>
      <c r="D134" s="3">
        <v>239</v>
      </c>
      <c r="E134" s="3">
        <v>362441</v>
      </c>
      <c r="F134" s="3">
        <v>5.57</v>
      </c>
      <c r="G134" s="3">
        <v>10253</v>
      </c>
    </row>
    <row r="135" spans="1:7" ht="15.75" customHeight="1">
      <c r="A135" s="4">
        <v>45628</v>
      </c>
      <c r="B135" s="1" t="s">
        <v>24</v>
      </c>
      <c r="C135" s="3">
        <v>1027</v>
      </c>
      <c r="D135" s="3">
        <v>156</v>
      </c>
      <c r="E135" s="3">
        <v>111293</v>
      </c>
      <c r="F135" s="3">
        <v>5.51</v>
      </c>
      <c r="G135" s="3">
        <v>7299</v>
      </c>
    </row>
    <row r="136" spans="1:7" ht="15.75" customHeight="1">
      <c r="A136" s="2">
        <v>45474</v>
      </c>
      <c r="B136" s="1" t="s">
        <v>14</v>
      </c>
      <c r="C136" s="3">
        <v>786</v>
      </c>
      <c r="D136" s="3">
        <v>72</v>
      </c>
      <c r="E136" s="3">
        <v>178615</v>
      </c>
      <c r="F136" s="3">
        <v>5.43</v>
      </c>
      <c r="G136" s="3">
        <v>19328</v>
      </c>
    </row>
    <row r="137" spans="1:7" ht="15.75" customHeight="1">
      <c r="A137" s="4">
        <v>45593</v>
      </c>
      <c r="B137" s="1" t="s">
        <v>24</v>
      </c>
      <c r="C137" s="3">
        <v>746</v>
      </c>
      <c r="D137" s="3">
        <v>282</v>
      </c>
      <c r="E137" s="3">
        <v>293894</v>
      </c>
      <c r="F137" s="3">
        <v>5.42</v>
      </c>
      <c r="G137" s="3">
        <v>25537</v>
      </c>
    </row>
    <row r="138" spans="1:7" ht="15.75" customHeight="1">
      <c r="A138" s="4">
        <v>45523</v>
      </c>
      <c r="B138" s="1" t="s">
        <v>24</v>
      </c>
      <c r="C138" s="3">
        <v>571</v>
      </c>
      <c r="D138" s="3">
        <v>189</v>
      </c>
      <c r="E138" s="3">
        <v>61445</v>
      </c>
      <c r="F138" s="3">
        <v>5.41</v>
      </c>
      <c r="G138" s="3">
        <v>27829</v>
      </c>
    </row>
    <row r="139" spans="1:7" ht="15.75" customHeight="1">
      <c r="A139" s="4">
        <v>45880</v>
      </c>
      <c r="B139" s="1" t="s">
        <v>14</v>
      </c>
      <c r="C139" s="3">
        <v>1080</v>
      </c>
      <c r="D139" s="3">
        <v>184</v>
      </c>
      <c r="E139" s="3">
        <v>340557</v>
      </c>
      <c r="F139" s="3">
        <v>5.41</v>
      </c>
      <c r="G139" s="3">
        <v>5526</v>
      </c>
    </row>
    <row r="140" spans="1:7" ht="15.75" customHeight="1">
      <c r="A140" s="4">
        <v>45901</v>
      </c>
      <c r="B140" s="1" t="s">
        <v>14</v>
      </c>
      <c r="C140" s="3">
        <v>1052</v>
      </c>
      <c r="D140" s="3">
        <v>180</v>
      </c>
      <c r="E140" s="3">
        <v>272534</v>
      </c>
      <c r="F140" s="3">
        <v>5.34</v>
      </c>
      <c r="G140" s="3">
        <v>13424</v>
      </c>
    </row>
    <row r="141" spans="1:7" ht="15.75" customHeight="1">
      <c r="A141" s="4">
        <v>45649</v>
      </c>
      <c r="B141" s="1" t="s">
        <v>14</v>
      </c>
      <c r="C141" s="3">
        <v>661</v>
      </c>
      <c r="D141" s="3">
        <v>94</v>
      </c>
      <c r="E141" s="3">
        <v>116538</v>
      </c>
      <c r="F141" s="3">
        <v>5.31</v>
      </c>
      <c r="G141" s="3">
        <v>23486</v>
      </c>
    </row>
    <row r="142" spans="1:7" ht="15.75" customHeight="1">
      <c r="A142" s="4">
        <v>45509</v>
      </c>
      <c r="B142" s="1" t="s">
        <v>31</v>
      </c>
      <c r="C142" s="3">
        <v>937</v>
      </c>
      <c r="D142" s="3">
        <v>179</v>
      </c>
      <c r="E142" s="3">
        <v>318098</v>
      </c>
      <c r="F142" s="3">
        <v>5.3</v>
      </c>
      <c r="G142" s="3">
        <v>5836</v>
      </c>
    </row>
    <row r="143" spans="1:7" ht="15.75" customHeight="1">
      <c r="A143" s="4">
        <v>45824</v>
      </c>
      <c r="B143" s="1" t="s">
        <v>24</v>
      </c>
      <c r="C143" s="3">
        <v>540</v>
      </c>
      <c r="D143" s="3">
        <v>215</v>
      </c>
      <c r="E143" s="3">
        <v>62837</v>
      </c>
      <c r="F143" s="3">
        <v>5.3</v>
      </c>
      <c r="G143" s="3">
        <v>10615</v>
      </c>
    </row>
    <row r="144" spans="1:7" ht="15.75" customHeight="1">
      <c r="A144" s="4">
        <v>45460</v>
      </c>
      <c r="B144" s="1" t="s">
        <v>14</v>
      </c>
      <c r="C144" s="3">
        <v>881</v>
      </c>
      <c r="D144" s="3">
        <v>291</v>
      </c>
      <c r="E144" s="3">
        <v>95885</v>
      </c>
      <c r="F144" s="3">
        <v>5.29</v>
      </c>
      <c r="G144" s="3">
        <v>12391</v>
      </c>
    </row>
    <row r="145" spans="1:7" ht="15.75" customHeight="1">
      <c r="A145" s="4">
        <v>45838</v>
      </c>
      <c r="B145" s="1" t="s">
        <v>24</v>
      </c>
      <c r="C145" s="3">
        <v>1349</v>
      </c>
      <c r="D145" s="3">
        <v>115</v>
      </c>
      <c r="E145" s="3">
        <v>102102</v>
      </c>
      <c r="F145" s="3">
        <v>5.28</v>
      </c>
      <c r="G145" s="3">
        <v>14479</v>
      </c>
    </row>
    <row r="146" spans="1:7" ht="15.75" customHeight="1">
      <c r="A146" s="4">
        <v>45796</v>
      </c>
      <c r="B146" s="1" t="s">
        <v>31</v>
      </c>
      <c r="C146" s="3">
        <v>1358</v>
      </c>
      <c r="D146" s="3">
        <v>77</v>
      </c>
      <c r="E146" s="3">
        <v>169688</v>
      </c>
      <c r="F146" s="3">
        <v>5.25</v>
      </c>
      <c r="G146" s="3">
        <v>7859</v>
      </c>
    </row>
    <row r="147" spans="1:7" ht="15.75" customHeight="1">
      <c r="A147" s="4">
        <v>45817</v>
      </c>
      <c r="B147" s="1" t="s">
        <v>14</v>
      </c>
      <c r="C147" s="3">
        <v>917</v>
      </c>
      <c r="D147" s="3">
        <v>187</v>
      </c>
      <c r="E147" s="3">
        <v>64444</v>
      </c>
      <c r="F147" s="3">
        <v>5.22</v>
      </c>
      <c r="G147" s="3">
        <v>13013</v>
      </c>
    </row>
    <row r="148" spans="1:7" ht="15.75" customHeight="1">
      <c r="A148" s="4">
        <v>45817</v>
      </c>
      <c r="B148" s="1" t="s">
        <v>24</v>
      </c>
      <c r="C148" s="3">
        <v>810</v>
      </c>
      <c r="D148" s="3">
        <v>232</v>
      </c>
      <c r="E148" s="3">
        <v>362559</v>
      </c>
      <c r="F148" s="3">
        <v>5.17</v>
      </c>
      <c r="G148" s="3">
        <v>12937</v>
      </c>
    </row>
    <row r="149" spans="1:7" ht="15.75" customHeight="1">
      <c r="A149" s="4">
        <v>45817</v>
      </c>
      <c r="B149" s="1" t="s">
        <v>31</v>
      </c>
      <c r="C149" s="3">
        <v>1183</v>
      </c>
      <c r="D149" s="3">
        <v>248</v>
      </c>
      <c r="E149" s="3">
        <v>226881</v>
      </c>
      <c r="F149" s="3">
        <v>5.17</v>
      </c>
      <c r="G149" s="3">
        <v>14534</v>
      </c>
    </row>
    <row r="150" spans="1:7" ht="15.75" customHeight="1">
      <c r="A150" s="4">
        <v>45768</v>
      </c>
      <c r="B150" s="1" t="s">
        <v>31</v>
      </c>
      <c r="C150" s="3">
        <v>1113</v>
      </c>
      <c r="D150" s="3">
        <v>224</v>
      </c>
      <c r="E150" s="3">
        <v>272989</v>
      </c>
      <c r="F150" s="3">
        <v>5.13</v>
      </c>
      <c r="G150" s="3">
        <v>24827</v>
      </c>
    </row>
    <row r="151" spans="1:7" ht="15.75" customHeight="1">
      <c r="A151" s="4">
        <v>45908</v>
      </c>
      <c r="B151" s="1" t="s">
        <v>24</v>
      </c>
      <c r="C151" s="3">
        <v>860</v>
      </c>
      <c r="D151" s="3">
        <v>244</v>
      </c>
      <c r="E151" s="3">
        <v>348686</v>
      </c>
      <c r="F151" s="3">
        <v>5.12</v>
      </c>
      <c r="G151" s="3">
        <v>11418</v>
      </c>
    </row>
    <row r="152" spans="1:7" ht="15.75" customHeight="1">
      <c r="A152" s="4">
        <v>45740</v>
      </c>
      <c r="B152" s="1" t="s">
        <v>31</v>
      </c>
      <c r="C152" s="3">
        <v>1398</v>
      </c>
      <c r="D152" s="3">
        <v>97</v>
      </c>
      <c r="E152" s="3">
        <v>397607</v>
      </c>
      <c r="F152" s="3">
        <v>5.09</v>
      </c>
      <c r="G152" s="3">
        <v>7975</v>
      </c>
    </row>
    <row r="153" spans="1:7" ht="15.75" customHeight="1">
      <c r="A153" s="4">
        <v>45803</v>
      </c>
      <c r="B153" s="1" t="s">
        <v>14</v>
      </c>
      <c r="C153" s="3">
        <v>1242</v>
      </c>
      <c r="D153" s="3">
        <v>201</v>
      </c>
      <c r="E153" s="3">
        <v>271935</v>
      </c>
      <c r="F153" s="3">
        <v>5.07</v>
      </c>
      <c r="G153" s="3">
        <v>15773</v>
      </c>
    </row>
    <row r="154" spans="1:7" ht="15.75" customHeight="1">
      <c r="A154" s="4">
        <v>45635</v>
      </c>
      <c r="B154" s="1" t="s">
        <v>31</v>
      </c>
      <c r="C154" s="3">
        <v>630</v>
      </c>
      <c r="D154" s="3">
        <v>248</v>
      </c>
      <c r="E154" s="3">
        <v>119054</v>
      </c>
      <c r="F154" s="3">
        <v>5.0199999999999996</v>
      </c>
      <c r="G154" s="3">
        <v>18867</v>
      </c>
    </row>
    <row r="155" spans="1:7" ht="15.75" customHeight="1">
      <c r="A155" s="4">
        <v>45859</v>
      </c>
      <c r="B155" s="1" t="s">
        <v>31</v>
      </c>
      <c r="C155" s="3">
        <v>1246</v>
      </c>
      <c r="D155" s="3">
        <v>107</v>
      </c>
      <c r="E155" s="3">
        <v>350949</v>
      </c>
      <c r="F155" s="3">
        <v>4.9800000000000004</v>
      </c>
      <c r="G155" s="3">
        <v>27809</v>
      </c>
    </row>
    <row r="156" spans="1:7" ht="15.75" customHeight="1">
      <c r="A156" s="4">
        <v>45866</v>
      </c>
      <c r="B156" s="1" t="s">
        <v>14</v>
      </c>
      <c r="C156" s="3">
        <v>780</v>
      </c>
      <c r="D156" s="3">
        <v>213</v>
      </c>
      <c r="E156" s="3">
        <v>121431</v>
      </c>
      <c r="F156" s="3">
        <v>4.97</v>
      </c>
      <c r="G156" s="3">
        <v>21464</v>
      </c>
    </row>
    <row r="157" spans="1:7" ht="15.75" customHeight="1">
      <c r="A157" s="4">
        <v>45873</v>
      </c>
      <c r="B157" s="1" t="s">
        <v>14</v>
      </c>
      <c r="C157" s="3">
        <v>949</v>
      </c>
      <c r="D157" s="3">
        <v>282</v>
      </c>
      <c r="E157" s="3">
        <v>87126</v>
      </c>
      <c r="F157" s="3">
        <v>4.96</v>
      </c>
      <c r="G157" s="3">
        <v>5413</v>
      </c>
    </row>
    <row r="158" spans="1:7" ht="15.75" customHeight="1">
      <c r="A158" s="4">
        <v>45691</v>
      </c>
      <c r="B158" s="1" t="s">
        <v>31</v>
      </c>
      <c r="C158" s="3">
        <v>534</v>
      </c>
      <c r="D158" s="3">
        <v>112</v>
      </c>
      <c r="E158" s="3">
        <v>360759</v>
      </c>
      <c r="F158" s="3">
        <v>4.8899999999999997</v>
      </c>
      <c r="G158" s="3">
        <v>25478</v>
      </c>
    </row>
    <row r="159" spans="1:7" ht="15.75" customHeight="1">
      <c r="A159" s="4">
        <v>45810</v>
      </c>
      <c r="B159" s="1" t="s">
        <v>14</v>
      </c>
      <c r="C159" s="3">
        <v>618</v>
      </c>
      <c r="D159" s="3">
        <v>264</v>
      </c>
      <c r="E159" s="3">
        <v>285164</v>
      </c>
      <c r="F159" s="3">
        <v>4.8600000000000003</v>
      </c>
      <c r="G159" s="3">
        <v>15128</v>
      </c>
    </row>
    <row r="160" spans="1:7" ht="15.75" customHeight="1">
      <c r="A160" s="4">
        <v>45656</v>
      </c>
      <c r="B160" s="1" t="s">
        <v>24</v>
      </c>
      <c r="C160" s="3">
        <v>1490</v>
      </c>
      <c r="D160" s="3">
        <v>103</v>
      </c>
      <c r="E160" s="3">
        <v>373274</v>
      </c>
      <c r="F160" s="3">
        <v>4.8</v>
      </c>
      <c r="G160" s="3">
        <v>19949</v>
      </c>
    </row>
    <row r="161" spans="1:7" ht="15.75" customHeight="1">
      <c r="A161" s="4">
        <v>45656</v>
      </c>
      <c r="B161" s="1" t="s">
        <v>14</v>
      </c>
      <c r="C161" s="3">
        <v>664</v>
      </c>
      <c r="D161" s="3">
        <v>251</v>
      </c>
      <c r="E161" s="3">
        <v>240598</v>
      </c>
      <c r="F161" s="3">
        <v>4.79</v>
      </c>
      <c r="G161" s="3">
        <v>10563</v>
      </c>
    </row>
    <row r="162" spans="1:7" ht="15.75" customHeight="1">
      <c r="A162" s="4">
        <v>45838</v>
      </c>
      <c r="B162" s="1" t="s">
        <v>14</v>
      </c>
      <c r="C162" s="3">
        <v>593</v>
      </c>
      <c r="D162" s="3">
        <v>108</v>
      </c>
      <c r="E162" s="3">
        <v>216500</v>
      </c>
      <c r="F162" s="3">
        <v>4.71</v>
      </c>
      <c r="G162" s="3">
        <v>27575</v>
      </c>
    </row>
    <row r="163" spans="1:7" ht="15.75" customHeight="1">
      <c r="A163" s="4">
        <v>45460</v>
      </c>
      <c r="B163" s="1" t="s">
        <v>31</v>
      </c>
      <c r="C163" s="3">
        <v>1472</v>
      </c>
      <c r="D163" s="3">
        <v>170</v>
      </c>
      <c r="E163" s="3">
        <v>250428</v>
      </c>
      <c r="F163" s="3">
        <v>4.66</v>
      </c>
      <c r="G163" s="3">
        <v>25040</v>
      </c>
    </row>
    <row r="164" spans="1:7" ht="15.75" customHeight="1">
      <c r="A164" s="4">
        <v>45614</v>
      </c>
      <c r="B164" s="1" t="s">
        <v>14</v>
      </c>
      <c r="C164" s="3">
        <v>946</v>
      </c>
      <c r="D164" s="3">
        <v>270</v>
      </c>
      <c r="E164" s="3">
        <v>246567</v>
      </c>
      <c r="F164" s="3">
        <v>4.53</v>
      </c>
      <c r="G164" s="3">
        <v>5924</v>
      </c>
    </row>
    <row r="165" spans="1:7" ht="15.75" customHeight="1">
      <c r="A165" s="4">
        <v>45642</v>
      </c>
      <c r="B165" s="1" t="s">
        <v>14</v>
      </c>
      <c r="C165" s="3">
        <v>1350</v>
      </c>
      <c r="D165" s="3">
        <v>233</v>
      </c>
      <c r="E165" s="3">
        <v>171670</v>
      </c>
      <c r="F165" s="3">
        <v>4.53</v>
      </c>
      <c r="G165" s="3">
        <v>17574</v>
      </c>
    </row>
    <row r="166" spans="1:7" ht="15.75" customHeight="1">
      <c r="A166" s="2">
        <v>45474</v>
      </c>
      <c r="B166" s="1" t="s">
        <v>24</v>
      </c>
      <c r="C166" s="3">
        <v>845</v>
      </c>
      <c r="D166" s="3">
        <v>250</v>
      </c>
      <c r="E166" s="3">
        <v>218228</v>
      </c>
      <c r="F166" s="3">
        <v>4.5199999999999996</v>
      </c>
      <c r="G166" s="3">
        <v>21107</v>
      </c>
    </row>
    <row r="167" spans="1:7" ht="15.75" customHeight="1">
      <c r="A167" s="4">
        <v>45593</v>
      </c>
      <c r="B167" s="1" t="s">
        <v>14</v>
      </c>
      <c r="C167" s="3">
        <v>1435</v>
      </c>
      <c r="D167" s="3">
        <v>261</v>
      </c>
      <c r="E167" s="3">
        <v>308533</v>
      </c>
      <c r="F167" s="3">
        <v>4.5199999999999996</v>
      </c>
      <c r="G167" s="3">
        <v>25130</v>
      </c>
    </row>
    <row r="168" spans="1:7" ht="15.75" customHeight="1">
      <c r="A168" s="4">
        <v>45586</v>
      </c>
      <c r="B168" s="1" t="s">
        <v>31</v>
      </c>
      <c r="C168" s="3">
        <v>1237</v>
      </c>
      <c r="D168" s="3">
        <v>155</v>
      </c>
      <c r="E168" s="3">
        <v>149916</v>
      </c>
      <c r="F168" s="3">
        <v>4.4800000000000004</v>
      </c>
      <c r="G168" s="3">
        <v>16921</v>
      </c>
    </row>
    <row r="169" spans="1:7" ht="15.75" customHeight="1">
      <c r="A169" s="4">
        <v>45775</v>
      </c>
      <c r="B169" s="1" t="s">
        <v>14</v>
      </c>
      <c r="C169" s="3">
        <v>1100</v>
      </c>
      <c r="D169" s="3">
        <v>117</v>
      </c>
      <c r="E169" s="3">
        <v>260204</v>
      </c>
      <c r="F169" s="3">
        <v>4.4000000000000004</v>
      </c>
      <c r="G169" s="3">
        <v>11908</v>
      </c>
    </row>
    <row r="170" spans="1:7" ht="15.75" customHeight="1">
      <c r="A170" s="2">
        <v>45474</v>
      </c>
      <c r="B170" s="1" t="s">
        <v>31</v>
      </c>
      <c r="C170" s="3">
        <v>1218</v>
      </c>
      <c r="D170" s="3">
        <v>101</v>
      </c>
      <c r="E170" s="3">
        <v>300397</v>
      </c>
      <c r="F170" s="3">
        <v>4.33</v>
      </c>
      <c r="G170" s="3">
        <v>12277</v>
      </c>
    </row>
    <row r="171" spans="1:7" ht="15.75" customHeight="1">
      <c r="A171" s="4">
        <v>45859</v>
      </c>
      <c r="B171" s="1" t="s">
        <v>24</v>
      </c>
      <c r="C171" s="3">
        <v>754</v>
      </c>
      <c r="D171" s="3">
        <v>150</v>
      </c>
      <c r="E171" s="3">
        <v>189622</v>
      </c>
      <c r="F171" s="3">
        <v>4.25</v>
      </c>
      <c r="G171" s="3">
        <v>11911</v>
      </c>
    </row>
    <row r="172" spans="1:7" ht="15.75" customHeight="1">
      <c r="A172" s="4">
        <v>45495</v>
      </c>
      <c r="B172" s="1" t="s">
        <v>31</v>
      </c>
      <c r="C172" s="3">
        <v>1241</v>
      </c>
      <c r="D172" s="3">
        <v>116</v>
      </c>
      <c r="E172" s="3">
        <v>380606</v>
      </c>
      <c r="F172" s="3">
        <v>4.2</v>
      </c>
      <c r="G172" s="3">
        <v>24617</v>
      </c>
    </row>
    <row r="173" spans="1:7" ht="15.75" customHeight="1">
      <c r="A173" s="4">
        <v>45901</v>
      </c>
      <c r="B173" s="1" t="s">
        <v>31</v>
      </c>
      <c r="C173" s="3">
        <v>503</v>
      </c>
      <c r="D173" s="3">
        <v>253</v>
      </c>
      <c r="E173" s="3">
        <v>313562</v>
      </c>
      <c r="F173" s="3">
        <v>4.18</v>
      </c>
      <c r="G173" s="3">
        <v>19538</v>
      </c>
    </row>
    <row r="174" spans="1:7" ht="15.75" customHeight="1">
      <c r="A174" s="4">
        <v>45712</v>
      </c>
      <c r="B174" s="1" t="s">
        <v>24</v>
      </c>
      <c r="C174" s="3">
        <v>886</v>
      </c>
      <c r="D174" s="3">
        <v>250</v>
      </c>
      <c r="E174" s="3">
        <v>168170</v>
      </c>
      <c r="F174" s="3">
        <v>4.12</v>
      </c>
      <c r="G174" s="3">
        <v>13883</v>
      </c>
    </row>
    <row r="175" spans="1:7" ht="15.75" customHeight="1">
      <c r="A175" s="4">
        <v>45733</v>
      </c>
      <c r="B175" s="1" t="s">
        <v>24</v>
      </c>
      <c r="C175" s="3">
        <v>576</v>
      </c>
      <c r="D175" s="3">
        <v>80</v>
      </c>
      <c r="E175" s="3">
        <v>345688</v>
      </c>
      <c r="F175" s="3">
        <v>4.1100000000000003</v>
      </c>
      <c r="G175" s="3">
        <v>20474</v>
      </c>
    </row>
    <row r="176" spans="1:7" ht="15.75" customHeight="1">
      <c r="A176" s="4">
        <v>45593</v>
      </c>
      <c r="B176" s="1" t="s">
        <v>31</v>
      </c>
      <c r="C176" s="3">
        <v>759</v>
      </c>
      <c r="D176" s="3">
        <v>216</v>
      </c>
      <c r="E176" s="3">
        <v>147656</v>
      </c>
      <c r="F176" s="3">
        <v>4.08</v>
      </c>
      <c r="G176" s="3">
        <v>24943</v>
      </c>
    </row>
    <row r="177" spans="1:7" ht="15.75" customHeight="1">
      <c r="A177" s="4">
        <v>45656</v>
      </c>
      <c r="B177" s="1" t="s">
        <v>31</v>
      </c>
      <c r="C177" s="3">
        <v>601</v>
      </c>
      <c r="D177" s="3">
        <v>64</v>
      </c>
      <c r="E177" s="3">
        <v>123272</v>
      </c>
      <c r="F177" s="3">
        <v>4.07</v>
      </c>
      <c r="G177" s="3">
        <v>14273</v>
      </c>
    </row>
    <row r="178" spans="1:7" ht="15.75" customHeight="1">
      <c r="A178" s="4">
        <v>45600</v>
      </c>
      <c r="B178" s="1" t="s">
        <v>14</v>
      </c>
      <c r="C178" s="3">
        <v>1437</v>
      </c>
      <c r="D178" s="3">
        <v>235</v>
      </c>
      <c r="E178" s="3">
        <v>326791</v>
      </c>
      <c r="F178" s="3">
        <v>4.0599999999999996</v>
      </c>
      <c r="G178" s="3">
        <v>14563</v>
      </c>
    </row>
    <row r="179" spans="1:7" ht="15.75" customHeight="1">
      <c r="A179" s="4">
        <v>45887</v>
      </c>
      <c r="B179" s="1" t="s">
        <v>24</v>
      </c>
      <c r="C179" s="3">
        <v>745</v>
      </c>
      <c r="D179" s="3">
        <v>98</v>
      </c>
      <c r="E179" s="3">
        <v>354816</v>
      </c>
      <c r="F179" s="3">
        <v>4.03</v>
      </c>
      <c r="G179" s="3">
        <v>17103</v>
      </c>
    </row>
    <row r="180" spans="1:7" ht="15.75" customHeight="1">
      <c r="A180" s="4">
        <v>45908</v>
      </c>
      <c r="B180" s="1" t="s">
        <v>14</v>
      </c>
      <c r="C180" s="3">
        <v>1017</v>
      </c>
      <c r="D180" s="3">
        <v>197</v>
      </c>
      <c r="E180" s="3">
        <v>89918</v>
      </c>
      <c r="F180" s="3">
        <v>3.91</v>
      </c>
      <c r="G180" s="3">
        <v>7881</v>
      </c>
    </row>
    <row r="181" spans="1:7" ht="15.75" customHeight="1">
      <c r="A181" s="4">
        <v>45789</v>
      </c>
      <c r="B181" s="1" t="s">
        <v>31</v>
      </c>
      <c r="C181" s="3">
        <v>624</v>
      </c>
      <c r="D181" s="3">
        <v>247</v>
      </c>
      <c r="E181" s="3">
        <v>252763</v>
      </c>
      <c r="F181" s="3">
        <v>3.89</v>
      </c>
      <c r="G181" s="3">
        <v>19000</v>
      </c>
    </row>
    <row r="182" spans="1:7" ht="15.75" customHeight="1">
      <c r="A182" s="4">
        <v>45502</v>
      </c>
      <c r="B182" s="1" t="s">
        <v>14</v>
      </c>
      <c r="C182" s="3">
        <v>973</v>
      </c>
      <c r="D182" s="3">
        <v>104</v>
      </c>
      <c r="E182" s="3">
        <v>376358</v>
      </c>
      <c r="F182" s="3">
        <v>3.87</v>
      </c>
      <c r="G182" s="3">
        <v>9847</v>
      </c>
    </row>
    <row r="183" spans="1:7" ht="15.75" customHeight="1">
      <c r="A183" s="4">
        <v>45712</v>
      </c>
      <c r="B183" s="1" t="s">
        <v>14</v>
      </c>
      <c r="C183" s="3">
        <v>645</v>
      </c>
      <c r="D183" s="3">
        <v>267</v>
      </c>
      <c r="E183" s="3">
        <v>346890</v>
      </c>
      <c r="F183" s="3">
        <v>3.71</v>
      </c>
      <c r="G183" s="3">
        <v>24858</v>
      </c>
    </row>
    <row r="184" spans="1:7" ht="15.75" customHeight="1">
      <c r="A184" s="4">
        <v>45866</v>
      </c>
      <c r="B184" s="1" t="s">
        <v>24</v>
      </c>
      <c r="C184" s="3">
        <v>1425</v>
      </c>
      <c r="D184" s="3">
        <v>143</v>
      </c>
      <c r="E184" s="3">
        <v>116742</v>
      </c>
      <c r="F184" s="3">
        <v>3.71</v>
      </c>
      <c r="G184" s="3">
        <v>27126</v>
      </c>
    </row>
    <row r="185" spans="1:7" ht="15.75" customHeight="1">
      <c r="A185" s="4">
        <v>45684</v>
      </c>
      <c r="B185" s="1" t="s">
        <v>24</v>
      </c>
      <c r="C185" s="3">
        <v>1149</v>
      </c>
      <c r="D185" s="3">
        <v>280</v>
      </c>
      <c r="E185" s="3">
        <v>167310</v>
      </c>
      <c r="F185" s="3">
        <v>3.7</v>
      </c>
      <c r="G185" s="3">
        <v>5291</v>
      </c>
    </row>
    <row r="186" spans="1:7" ht="15.75" customHeight="1">
      <c r="A186" s="4">
        <v>45901</v>
      </c>
      <c r="B186" s="1" t="s">
        <v>24</v>
      </c>
      <c r="C186" s="3">
        <v>572</v>
      </c>
      <c r="D186" s="3">
        <v>270</v>
      </c>
      <c r="E186" s="3">
        <v>82265</v>
      </c>
      <c r="F186" s="3">
        <v>3.65</v>
      </c>
      <c r="G186" s="3">
        <v>13140</v>
      </c>
    </row>
    <row r="187" spans="1:7" ht="15.75" customHeight="1">
      <c r="A187" s="4">
        <v>45775</v>
      </c>
      <c r="B187" s="1" t="s">
        <v>31</v>
      </c>
      <c r="C187" s="3">
        <v>864</v>
      </c>
      <c r="D187" s="3">
        <v>50</v>
      </c>
      <c r="E187" s="3">
        <v>277445</v>
      </c>
      <c r="F187" s="3">
        <v>3.57</v>
      </c>
      <c r="G187" s="3">
        <v>26333</v>
      </c>
    </row>
    <row r="188" spans="1:7" ht="15.75" customHeight="1">
      <c r="A188" s="4">
        <v>45502</v>
      </c>
      <c r="B188" s="1" t="s">
        <v>31</v>
      </c>
      <c r="C188" s="3">
        <v>983</v>
      </c>
      <c r="D188" s="3">
        <v>134</v>
      </c>
      <c r="E188" s="3">
        <v>352178</v>
      </c>
      <c r="F188" s="3">
        <v>3.55</v>
      </c>
      <c r="G188" s="3">
        <v>11421</v>
      </c>
    </row>
    <row r="189" spans="1:7" ht="15.75" customHeight="1">
      <c r="A189" s="4">
        <v>45761</v>
      </c>
      <c r="B189" s="1" t="s">
        <v>14</v>
      </c>
      <c r="C189" s="3">
        <v>772</v>
      </c>
      <c r="D189" s="3">
        <v>82</v>
      </c>
      <c r="E189" s="3">
        <v>345659</v>
      </c>
      <c r="F189" s="3">
        <v>3.52</v>
      </c>
      <c r="G189" s="3">
        <v>27753</v>
      </c>
    </row>
    <row r="190" spans="1:7" ht="15.75" customHeight="1">
      <c r="A190" s="4">
        <v>45670</v>
      </c>
      <c r="B190" s="1" t="s">
        <v>14</v>
      </c>
      <c r="C190" s="3">
        <v>532</v>
      </c>
      <c r="D190" s="3">
        <v>65</v>
      </c>
      <c r="E190" s="3">
        <v>338561</v>
      </c>
      <c r="F190" s="3">
        <v>3.5</v>
      </c>
      <c r="G190" s="3">
        <v>14749</v>
      </c>
    </row>
    <row r="191" spans="1:7" ht="15.75" customHeight="1">
      <c r="A191" s="4">
        <v>45775</v>
      </c>
      <c r="B191" s="1" t="s">
        <v>24</v>
      </c>
      <c r="C191" s="3">
        <v>751</v>
      </c>
      <c r="D191" s="3">
        <v>170</v>
      </c>
      <c r="E191" s="3">
        <v>283278</v>
      </c>
      <c r="F191" s="3">
        <v>3.49</v>
      </c>
      <c r="G191" s="3">
        <v>11005</v>
      </c>
    </row>
    <row r="192" spans="1:7" ht="15.75" customHeight="1">
      <c r="A192" s="4">
        <v>45565</v>
      </c>
      <c r="B192" s="1" t="s">
        <v>14</v>
      </c>
      <c r="C192" s="3">
        <v>1416</v>
      </c>
      <c r="D192" s="3">
        <v>284</v>
      </c>
      <c r="E192" s="3">
        <v>374952</v>
      </c>
      <c r="F192" s="3">
        <v>3.45</v>
      </c>
      <c r="G192" s="3">
        <v>11335</v>
      </c>
    </row>
    <row r="193" spans="1:7" ht="15.75" customHeight="1">
      <c r="A193" s="4">
        <v>45733</v>
      </c>
      <c r="B193" s="1" t="s">
        <v>14</v>
      </c>
      <c r="C193" s="3">
        <v>693</v>
      </c>
      <c r="D193" s="3">
        <v>129</v>
      </c>
      <c r="E193" s="3">
        <v>296031</v>
      </c>
      <c r="F193" s="3">
        <v>3.41</v>
      </c>
      <c r="G193" s="3">
        <v>7140</v>
      </c>
    </row>
    <row r="194" spans="1:7" ht="15.75" customHeight="1">
      <c r="A194" s="4">
        <v>45544</v>
      </c>
      <c r="B194" s="1" t="s">
        <v>24</v>
      </c>
      <c r="C194" s="3">
        <v>1430</v>
      </c>
      <c r="D194" s="3">
        <v>162</v>
      </c>
      <c r="E194" s="3">
        <v>269082</v>
      </c>
      <c r="F194" s="3">
        <v>3.4</v>
      </c>
      <c r="G194" s="3">
        <v>18071</v>
      </c>
    </row>
    <row r="195" spans="1:7" ht="15.75" customHeight="1">
      <c r="A195" s="4">
        <v>45740</v>
      </c>
      <c r="B195" s="1" t="s">
        <v>14</v>
      </c>
      <c r="C195" s="3">
        <v>818</v>
      </c>
      <c r="D195" s="3">
        <v>253</v>
      </c>
      <c r="E195" s="3">
        <v>184911</v>
      </c>
      <c r="F195" s="3">
        <v>3.39</v>
      </c>
      <c r="G195" s="3">
        <v>10402</v>
      </c>
    </row>
    <row r="196" spans="1:7" ht="15.75" customHeight="1">
      <c r="A196" s="4">
        <v>45551</v>
      </c>
      <c r="B196" s="1" t="s">
        <v>31</v>
      </c>
      <c r="C196" s="3">
        <v>685</v>
      </c>
      <c r="D196" s="3">
        <v>285</v>
      </c>
      <c r="E196" s="3">
        <v>177452</v>
      </c>
      <c r="F196" s="3">
        <v>3.36</v>
      </c>
      <c r="G196" s="3">
        <v>21134</v>
      </c>
    </row>
    <row r="197" spans="1:7" ht="15.75" customHeight="1">
      <c r="A197" s="4">
        <v>45684</v>
      </c>
      <c r="B197" s="1" t="s">
        <v>31</v>
      </c>
      <c r="C197" s="3">
        <v>819</v>
      </c>
      <c r="D197" s="3">
        <v>101</v>
      </c>
      <c r="E197" s="3">
        <v>194811</v>
      </c>
      <c r="F197" s="3">
        <v>3.35</v>
      </c>
      <c r="G197" s="3">
        <v>22244</v>
      </c>
    </row>
    <row r="198" spans="1:7" ht="15.75" customHeight="1">
      <c r="A198" s="4">
        <v>45677</v>
      </c>
      <c r="B198" s="1" t="s">
        <v>14</v>
      </c>
      <c r="C198" s="3">
        <v>601</v>
      </c>
      <c r="D198" s="3">
        <v>159</v>
      </c>
      <c r="E198" s="3">
        <v>327722</v>
      </c>
      <c r="F198" s="3">
        <v>3.33</v>
      </c>
      <c r="G198" s="3">
        <v>25267</v>
      </c>
    </row>
    <row r="199" spans="1:7" ht="15.75" customHeight="1">
      <c r="A199" s="4">
        <v>45642</v>
      </c>
      <c r="B199" s="1" t="s">
        <v>31</v>
      </c>
      <c r="C199" s="3">
        <v>1182</v>
      </c>
      <c r="D199" s="3">
        <v>83</v>
      </c>
      <c r="E199" s="3">
        <v>140300</v>
      </c>
      <c r="F199" s="3">
        <v>3.27</v>
      </c>
      <c r="G199" s="3">
        <v>21079</v>
      </c>
    </row>
    <row r="200" spans="1:7" ht="15.75" customHeight="1">
      <c r="A200" s="4">
        <v>45691</v>
      </c>
      <c r="B200" s="1" t="s">
        <v>24</v>
      </c>
      <c r="C200" s="3">
        <v>681</v>
      </c>
      <c r="D200" s="3">
        <v>158</v>
      </c>
      <c r="E200" s="3">
        <v>75960</v>
      </c>
      <c r="F200" s="3">
        <v>3.13</v>
      </c>
      <c r="G200" s="3">
        <v>24112</v>
      </c>
    </row>
    <row r="201" spans="1:7" ht="15.75" customHeight="1">
      <c r="A201" s="4">
        <v>45894</v>
      </c>
      <c r="B201" s="1" t="s">
        <v>31</v>
      </c>
      <c r="C201" s="3">
        <v>791</v>
      </c>
      <c r="D201" s="3">
        <v>273</v>
      </c>
      <c r="E201" s="3">
        <v>144049</v>
      </c>
      <c r="F201" s="3">
        <v>3.08</v>
      </c>
      <c r="G201" s="3">
        <v>5281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2:G201">
    <sortCondition descending="1" ref="F2:F201"/>
  </sortState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7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0B80-F286-4B38-93FF-A233422D0DAF}">
  <dimension ref="B2:C3"/>
  <sheetViews>
    <sheetView tabSelected="1" workbookViewId="0">
      <selection activeCell="C4" sqref="C4"/>
    </sheetView>
  </sheetViews>
  <sheetFormatPr defaultRowHeight="15"/>
  <sheetData>
    <row r="2" spans="2:3">
      <c r="B2" s="14" t="s">
        <v>388</v>
      </c>
    </row>
    <row r="3" spans="2:3">
      <c r="C3" s="15" t="s">
        <v>389</v>
      </c>
    </row>
  </sheetData>
  <hyperlinks>
    <hyperlink ref="C3" r:id="rId1" xr:uid="{D95C55EE-04AE-4163-9BB8-1C4EB2AE0B9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AAB148-5AB2-4215-8834-39403F376C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task5(4)</vt:lpstr>
      <vt:lpstr>task5(1)</vt:lpstr>
      <vt:lpstr>Posts</vt:lpstr>
      <vt:lpstr>task5(2)</vt:lpstr>
      <vt:lpstr>Engagement Summary</vt:lpstr>
      <vt:lpstr>Campaign Metadata</vt:lpstr>
      <vt:lpstr>video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Gowda</cp:lastModifiedBy>
  <dcterms:created xsi:type="dcterms:W3CDTF">2025-09-14T05:05:45Z</dcterms:created>
  <dcterms:modified xsi:type="dcterms:W3CDTF">2025-09-19T08:08:57Z</dcterms:modified>
</cp:coreProperties>
</file>